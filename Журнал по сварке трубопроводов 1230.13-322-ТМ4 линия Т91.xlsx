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CAA884-F111-40F4-8F8D-F27636EC8F7A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тит" sheetId="8" r:id="rId1"/>
    <sheet name="Страница 1" sheetId="9" r:id="rId2"/>
    <sheet name="Н1 " sheetId="10" r:id="rId3"/>
    <sheet name="Лист1" sheetId="11" r:id="rId4"/>
  </sheets>
  <definedNames>
    <definedName name="__123Graph_A" hidden="1">#REF!</definedName>
    <definedName name="__123Graph_B" hidden="1">#REF!</definedName>
    <definedName name="__123Graph_BPERFORMANCE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1_0_0_F" hidden="1">#REF!</definedName>
    <definedName name="_d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X" hidden="1">#REF!</definedName>
    <definedName name="_Sort" hidden="1">#REF!</definedName>
    <definedName name="_xlcn.WorksheetConnection_01TPFOLLOWUPTABLE.xlsxIsometricList" hidden="1">#REF!</definedName>
    <definedName name="_xlcn.WorksheetConnection_01TPFOLLOWUPTABLE.xlsxTPLimits" hidden="1">#REF!</definedName>
    <definedName name="_xlnm._FilterDatabase" localSheetId="3" hidden="1">Лист1!$A$1:$C$31</definedName>
    <definedName name="_xlnm._FilterDatabase" localSheetId="2" hidden="1">'Н1 '!$B$2:$X$31</definedName>
    <definedName name="_xlnm._FilterDatabase" hidden="1">#REF!</definedName>
    <definedName name="abv" hidden="1">#REF!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scount" hidden="1">1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WPRICE" hidden="1">#REF!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ODH" hidden="1">#REF!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q" hidden="1">{"'장비'!$A$3:$M$12"}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ncount" hidden="1">1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Equipment._.List." hidden="1">{#N/A,#N/A,TRUE,"COVERSHEET";#N/A,#N/A,TRUE,"LEGEND";#N/A,#N/A,TRUE,"LIST"}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Print_Titles" localSheetId="2">'Н1 '!$1:$2</definedName>
    <definedName name="_xlnm.Print_Area" localSheetId="2">'Н1 '!$B$1:$X$31</definedName>
    <definedName name="_xlnm.Print_Area" localSheetId="1">'Страница 1'!$A$1:$G$9</definedName>
    <definedName name="_xlnm.Print_Area" localSheetId="0">тит!$A$1:$I$45</definedName>
    <definedName name="견적조건" hidden="1">#REF!</definedName>
    <definedName name="부대공사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0" l="1"/>
  <c r="A27" i="10"/>
  <c r="A28" i="10"/>
  <c r="A29" i="10"/>
  <c r="A30" i="10"/>
  <c r="A31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3" i="10"/>
</calcChain>
</file>

<file path=xl/sharedStrings.xml><?xml version="1.0" encoding="utf-8"?>
<sst xmlns="http://schemas.openxmlformats.org/spreadsheetml/2006/main" count="469" uniqueCount="133">
  <si>
    <t>№ п/п</t>
  </si>
  <si>
    <t>по сварке трубопроводов</t>
  </si>
  <si>
    <t>Ф.И.О. сварщика, личное клеймо</t>
  </si>
  <si>
    <t>Способ сварки</t>
  </si>
  <si>
    <t>Сварочные материалы (марка электрода, сварочной проволоки, защитный газ, флюс), НД, №№ сертификатов</t>
  </si>
  <si>
    <t>Ф.И.О. оператора-термиста, личное клеймо</t>
  </si>
  <si>
    <t>Твердость металла шва, № заключения, дата</t>
  </si>
  <si>
    <t>Отметка о годности сварного соединения по внешнему осмотру и измерениям</t>
  </si>
  <si>
    <t>Способ и результаты неразрушающего контроля сварного соединения, № заключения, дата</t>
  </si>
  <si>
    <t>(№ чертежей расположения трубопроводов, буквенно-цифровое обозначение участков)</t>
  </si>
  <si>
    <t>(месторасположение объекта, отделение, корпус)</t>
  </si>
  <si>
    <t>Дата сварки, темпера-
турные условия в рабочей зоне, ˚С</t>
  </si>
  <si>
    <t>№ диаграммы по журналу термообра-
ботки сварных соединений</t>
  </si>
  <si>
    <t>Результаты измерения ферритной фазы в металле шва, № заключения, дата</t>
  </si>
  <si>
    <t>Режим предвари-
тельного и сопутству-
ющего подогрева</t>
  </si>
  <si>
    <t>Заказчик:</t>
  </si>
  <si>
    <t>Подрядчик:</t>
  </si>
  <si>
    <t>ГОСТ 32569-2013, форма 3</t>
  </si>
  <si>
    <t xml:space="preserve">Начало работ: </t>
  </si>
  <si>
    <t>Окончания работ:</t>
  </si>
  <si>
    <t>"_____" ________________20_____г.</t>
  </si>
  <si>
    <r>
      <t xml:space="preserve">ЖУРНАЛ № </t>
    </r>
    <r>
      <rPr>
        <u/>
        <sz val="20"/>
        <rFont val="Times New Roman"/>
        <family val="1"/>
        <charset val="204"/>
      </rPr>
      <t>___________</t>
    </r>
  </si>
  <si>
    <t xml:space="preserve">Список
инженерно-технического персонала,
занятого выполнением сварочных работ </t>
  </si>
  <si>
    <t>Фамилия, имя,
отчество</t>
  </si>
  <si>
    <t>Специальность
и образование</t>
  </si>
  <si>
    <t>Занимаемая 
должность</t>
  </si>
  <si>
    <t>Дата
начала работы
на объекте</t>
  </si>
  <si>
    <t xml:space="preserve">Отметка
о прохождении 
аттестации
и дата </t>
  </si>
  <si>
    <t>Дата
окончания 
работы
на объекте</t>
  </si>
  <si>
    <t>Список сварщиков,  выполнявших сварочные работы на объекте</t>
  </si>
  <si>
    <t>Разряд квалификационный</t>
  </si>
  <si>
    <t>Номер личного клейма</t>
  </si>
  <si>
    <t>Диплом, удостоверение на право производства сварочных работ</t>
  </si>
  <si>
    <t>Отметка о сварке пробных и контрольных образцов</t>
  </si>
  <si>
    <t>Номер</t>
  </si>
  <si>
    <t>срок действия</t>
  </si>
  <si>
    <t xml:space="preserve">допущен к сварке (швов в пространст-венном положении) </t>
  </si>
  <si>
    <t>во всех пространственных положениях</t>
  </si>
  <si>
    <t>Обозначение сварного соединения по исполнитель-
ному чертежу</t>
  </si>
  <si>
    <t>Тип сварного соединения ГОСТ 16037</t>
  </si>
  <si>
    <t>C17</t>
  </si>
  <si>
    <t>Чертеж</t>
  </si>
  <si>
    <t>Линия</t>
  </si>
  <si>
    <t>7BMS Шубанев Александр Вячеславович</t>
  </si>
  <si>
    <t>68H2 Дюков Сергей Владимирович</t>
  </si>
  <si>
    <t>Отметка о контроле корня шва</t>
  </si>
  <si>
    <t>Стилоско-
пирование металла шва, № заключения, дата</t>
  </si>
  <si>
    <t>38N8 Белоус Сергей Владимирович</t>
  </si>
  <si>
    <t xml:space="preserve">68H2 Дюков Сергей Владимирович 	 </t>
  </si>
  <si>
    <t xml:space="preserve">68H2 Дюков Сергей Владимирович 
38N8 Белоус Сергей Владимирович	 </t>
  </si>
  <si>
    <t xml:space="preserve">B0C9 Каратюк Богдан Игоревич </t>
  </si>
  <si>
    <t xml:space="preserve">B0C9 Каратюк Богдан Игоревич 
38N8 Белоус Сергей Владимирович	 </t>
  </si>
  <si>
    <t xml:space="preserve">C9EK Дмитриев Павел Иванович 
38N8 Белоус Сергей Владимирович </t>
  </si>
  <si>
    <t xml:space="preserve">C9EK Дмитриев Павел Иванович 
96PF Карабань Александр Александрович	 </t>
  </si>
  <si>
    <t xml:space="preserve">7BMS Шубанев Александр Вячеславович
8CAM Кравченко Павел Викторович	 </t>
  </si>
  <si>
    <t xml:space="preserve">C9EK Дмитриев Павел Иванович
6A1A Кулезнев Алексей Александрович	 </t>
  </si>
  <si>
    <t>4SE1 Рошка Иван Иванович</t>
  </si>
  <si>
    <t xml:space="preserve">C9EK Дмитриев Павел Иванович
4SE1 Рошка Иван Иванович
</t>
  </si>
  <si>
    <t>96PF Карабань Александр Александрович</t>
  </si>
  <si>
    <t xml:space="preserve">68H2 Дюков Сергей Владимирович
6ALZ Картовенков Андрей Валерьевич
</t>
  </si>
  <si>
    <t xml:space="preserve">7BMS Шубанев Александр Вячеславович 
37PP Бахматов Сергей Валерьевич
</t>
  </si>
  <si>
    <t xml:space="preserve">6R15 Долгих Павел Вадимович
6KT2 Кильдин Марсель Салимьянович 	 </t>
  </si>
  <si>
    <t>7BMS</t>
  </si>
  <si>
    <t>38N8</t>
  </si>
  <si>
    <t>4SE1</t>
  </si>
  <si>
    <t>B0C9</t>
  </si>
  <si>
    <t>68H2</t>
  </si>
  <si>
    <t>6A1A</t>
  </si>
  <si>
    <t>7BMS Шубанев Александр Вячеславович</t>
  </si>
  <si>
    <t>1N70 Микрюков Евгений Геннадьевич</t>
  </si>
  <si>
    <t>1N70</t>
  </si>
  <si>
    <t xml:space="preserve">4SE1 Рошка Иван Иванович B0C9 Каратюк Богдан Игоревич
</t>
  </si>
  <si>
    <t>B0C9 Каратюк Богдан Игоревич 
4SE1 Рошка Иван Иванович</t>
  </si>
  <si>
    <t xml:space="preserve">B0C9 Каратюк Богдан Игоревич
8CAM Кравченко Павел Викторович 	 </t>
  </si>
  <si>
    <t xml:space="preserve">B0C9 Каратюк Богдан Игоревич
6A1A Кулезнев Алексей Александрович 	 </t>
  </si>
  <si>
    <t>B0C9 Каратюк Богдан Игоревич
38N8  Белоус Сергей Владимирович</t>
  </si>
  <si>
    <t>8CAM</t>
  </si>
  <si>
    <t xml:space="preserve">68H2 Дюков Сергей Владимирович 
6A1A Кулезнев Алексей Александрович	 </t>
  </si>
  <si>
    <t xml:space="preserve">68H2 Дюков Сергей Владимирович 
4SE1 Рошка Иван Иванович
</t>
  </si>
  <si>
    <t>C9EK</t>
  </si>
  <si>
    <t>6ALZ</t>
  </si>
  <si>
    <t>6R15</t>
  </si>
  <si>
    <t>6KT2</t>
  </si>
  <si>
    <t>96PF</t>
  </si>
  <si>
    <t>37PP</t>
  </si>
  <si>
    <t xml:space="preserve">68H2 Дюков Сергей Владимирович 
</t>
  </si>
  <si>
    <t>Длина шва, мм</t>
  </si>
  <si>
    <t>Марка стали (композиция марок сталей), НД, № сертификатов, 2 элемент</t>
  </si>
  <si>
    <t>Марка стали (композиция марок сталей), НД, № сертификатов, 1 элемент</t>
  </si>
  <si>
    <t>Наружный диаметр элемента трубопро
вода и толщина стенки DнxS, мм, 1 элемент</t>
  </si>
  <si>
    <t>+22°С, пасмурно, 3,7 м/с</t>
  </si>
  <si>
    <t>+21°С, пасмурно, 4,1 м/с</t>
  </si>
  <si>
    <t>+21°С, влажность, 2,7 м/с</t>
  </si>
  <si>
    <t>+20°С, пасмурно, 4,0 м/с</t>
  </si>
  <si>
    <t>+21°С, тепло, 4 м/с</t>
  </si>
  <si>
    <t>+24°С, жарко, 3,4 м/с</t>
  </si>
  <si>
    <t>+21°С, жарко, 3,7 м/с</t>
  </si>
  <si>
    <t>+23°С, пасмурно, 3,7 м/с</t>
  </si>
  <si>
    <t>+22°С, пасмурно, 3,9 м/с</t>
  </si>
  <si>
    <t>+20°С, без осадков, 3,2 м/с</t>
  </si>
  <si>
    <t>+23°С, пасмурно, 3,9 м/с</t>
  </si>
  <si>
    <t>+24°С, пасмурно, 4,0 м/с</t>
  </si>
  <si>
    <t>+23°С, тепло, 3,4 м/с</t>
  </si>
  <si>
    <t>РАД</t>
  </si>
  <si>
    <t>Труба / Ст20</t>
  </si>
  <si>
    <t>159х8</t>
  </si>
  <si>
    <t>BZTL, Константинов Александр Васильевич</t>
  </si>
  <si>
    <t>Т91</t>
  </si>
  <si>
    <t>1230.13-322-ТМ4</t>
  </si>
  <si>
    <t>5/1</t>
  </si>
  <si>
    <t>17/1</t>
  </si>
  <si>
    <t>Фланец Расходомера 15.FM.4 / Ст20</t>
  </si>
  <si>
    <t>Отвод 90° / Ст20</t>
  </si>
  <si>
    <t>Отвод 30° / Ст20</t>
  </si>
  <si>
    <t>Тройник / Ст20</t>
  </si>
  <si>
    <t>08.07.2026, +9°С, без осадков,3,4 м/с</t>
  </si>
  <si>
    <t>09.07.2026, +13°С, без осадков, 2,6 м/с</t>
  </si>
  <si>
    <t>10.07.2026, +14°С, без осадков, 3,9 м/с</t>
  </si>
  <si>
    <t>12.07.2026, +13°С, без осадков, 2,8 м/с</t>
  </si>
  <si>
    <t>13.07.2026, +10°С, без осадков, 4,8 м/с</t>
  </si>
  <si>
    <t>11.07.2026, +14°С, без осадков, 3,9 м/с</t>
  </si>
  <si>
    <t>14.07.2026, +20°С, пасмурно, 4,0 м/с</t>
  </si>
  <si>
    <t>15.07.2026, +21°С, влажность, 2,7 м/с</t>
  </si>
  <si>
    <t>16.07.2026, +24°С, жарко, 3,4 м/с</t>
  </si>
  <si>
    <t>17.07.2026, +23°С, тепло, 3,4 м/с</t>
  </si>
  <si>
    <t>Труба Дэаэратора 15.DA.01/1_ / Ст20</t>
  </si>
  <si>
    <t>Отвод 45° / Ст20</t>
  </si>
  <si>
    <t>Труба устройства предохранительного 15.D.1_DA.01/3 / Ст20</t>
  </si>
  <si>
    <t>Электроды 0ЗЛ-6,ф3,0 СЗСМ
Сертификат качества №0841-2026/0751 от 03.07.2026
Свидетельство (НАКС) №АЦСМ-49-01782 с 21.10.2025 по 21.10.2028</t>
  </si>
  <si>
    <t xml:space="preserve"> Константинов Александр Васильевич </t>
  </si>
  <si>
    <t>CTL2</t>
  </si>
  <si>
    <t>№ЗСР-2АЦ-I-17303</t>
  </si>
  <si>
    <t>17.04.2028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</si>
</sst>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i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u/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Arial"/>
      <family val="2"/>
      <charset val="204"/>
    </font>
    <font>
      <i/>
      <sz val="10"/>
      <color rgb="FFFF0000"/>
      <name val="Times New Roman"/>
      <family val="1"/>
      <charset val="204"/>
    </font>
    <font>
      <sz val="10"/>
      <color rgb="FFFF0000"/>
      <name val="Arial"/>
      <family val="2"/>
      <charset val="204"/>
    </font>
    <font>
      <i/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5" fillId="0" borderId="0" xfId="4" applyFont="1"/>
    <xf numFmtId="0" fontId="3" fillId="0" borderId="0" xfId="4" applyFont="1"/>
    <xf numFmtId="0" fontId="3" fillId="0" borderId="0" xfId="4" applyFont="1" applyAlignment="1">
      <alignment horizontal="right"/>
    </xf>
    <xf numFmtId="0" fontId="5" fillId="0" borderId="0" xfId="4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3" fillId="0" borderId="0" xfId="0" applyFont="1" applyAlignment="1">
      <alignment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9" fillId="3" borderId="0" xfId="0" applyFont="1" applyFill="1"/>
    <xf numFmtId="0" fontId="1" fillId="3" borderId="3" xfId="0" applyFont="1" applyFill="1" applyBorder="1"/>
    <xf numFmtId="0" fontId="1" fillId="3" borderId="3" xfId="0" applyFont="1" applyFill="1" applyBorder="1" applyAlignment="1">
      <alignment wrapText="1"/>
    </xf>
    <xf numFmtId="0" fontId="1" fillId="3" borderId="3" xfId="0" quotePrefix="1" applyFont="1" applyFill="1" applyBorder="1" applyAlignment="1">
      <alignment wrapText="1"/>
    </xf>
    <xf numFmtId="0" fontId="0" fillId="3" borderId="0" xfId="0" applyFill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4" fillId="0" borderId="0" xfId="1" applyFont="1"/>
    <xf numFmtId="0" fontId="5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0" fontId="14" fillId="3" borderId="3" xfId="5" quotePrefix="1" applyFont="1" applyFill="1" applyBorder="1" applyAlignment="1">
      <alignment horizontal="center" vertical="top" wrapText="1"/>
    </xf>
    <xf numFmtId="0" fontId="1" fillId="3" borderId="0" xfId="0" quotePrefix="1" applyFont="1" applyFill="1"/>
    <xf numFmtId="0" fontId="7" fillId="3" borderId="3" xfId="5" quotePrefix="1" applyFont="1" applyFill="1" applyBorder="1" applyAlignment="1">
      <alignment horizontal="center" vertical="center" wrapText="1"/>
    </xf>
    <xf numFmtId="49" fontId="7" fillId="3" borderId="3" xfId="5" quotePrefix="1" applyNumberFormat="1" applyFont="1" applyFill="1" applyBorder="1" applyAlignment="1">
      <alignment horizontal="center" vertical="center" wrapText="1"/>
    </xf>
    <xf numFmtId="49" fontId="7" fillId="0" borderId="3" xfId="5" quotePrefix="1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4" fontId="7" fillId="3" borderId="3" xfId="5" quotePrefix="1" applyNumberFormat="1" applyFont="1" applyFill="1" applyBorder="1" applyAlignment="1">
      <alignment horizontal="center" vertical="center" wrapText="1"/>
    </xf>
    <xf numFmtId="14" fontId="7" fillId="3" borderId="3" xfId="1" applyNumberFormat="1" applyFont="1" applyFill="1" applyBorder="1" applyAlignment="1">
      <alignment horizontal="center" vertical="center" wrapText="1"/>
    </xf>
    <xf numFmtId="49" fontId="7" fillId="0" borderId="3" xfId="1" applyNumberFormat="1" applyFont="1" applyBorder="1" applyAlignment="1">
      <alignment horizontal="center" vertical="center" wrapText="1"/>
    </xf>
    <xf numFmtId="49" fontId="5" fillId="3" borderId="3" xfId="1" applyNumberFormat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14" fontId="5" fillId="3" borderId="3" xfId="1" applyNumberFormat="1" applyFont="1" applyFill="1" applyBorder="1" applyAlignment="1">
      <alignment horizontal="center" vertical="center" wrapText="1"/>
    </xf>
    <xf numFmtId="14" fontId="5" fillId="3" borderId="5" xfId="1" applyNumberFormat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7" fillId="0" borderId="3" xfId="5" quotePrefix="1" applyFont="1" applyFill="1" applyBorder="1" applyAlignment="1">
      <alignment horizontal="center" vertical="center" wrapText="1"/>
    </xf>
    <xf numFmtId="0" fontId="7" fillId="5" borderId="3" xfId="5" quotePrefix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left"/>
    </xf>
    <xf numFmtId="0" fontId="10" fillId="0" borderId="0" xfId="4" applyFont="1" applyAlignment="1">
      <alignment horizontal="center"/>
    </xf>
    <xf numFmtId="0" fontId="5" fillId="0" borderId="0" xfId="4" applyFont="1" applyAlignment="1">
      <alignment horizontal="left"/>
    </xf>
    <xf numFmtId="0" fontId="7" fillId="0" borderId="0" xfId="4" applyFont="1" applyAlignment="1">
      <alignment horizontal="center"/>
    </xf>
    <xf numFmtId="0" fontId="8" fillId="0" borderId="2" xfId="4" applyFont="1" applyBorder="1" applyAlignment="1">
      <alignment horizontal="center" vertical="top"/>
    </xf>
    <xf numFmtId="0" fontId="11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9" fillId="0" borderId="1" xfId="4" applyFont="1" applyBorder="1" applyAlignment="1">
      <alignment horizontal="center"/>
    </xf>
    <xf numFmtId="0" fontId="8" fillId="0" borderId="0" xfId="4" applyFont="1" applyAlignment="1">
      <alignment horizontal="center" vertical="top"/>
    </xf>
    <xf numFmtId="0" fontId="9" fillId="0" borderId="1" xfId="4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16" fillId="2" borderId="3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6">
    <cellStyle name="Normal_ВСН_012-88(2)_Ф_2_61" xfId="2" xr:uid="{00000000-0005-0000-0000-000000000000}"/>
    <cellStyle name="Обычный" xfId="0" builtinId="0"/>
    <cellStyle name="Обычный 10" xfId="5" xr:uid="{00000000-0005-0000-0000-000002000000}"/>
    <cellStyle name="Обычный 2" xfId="1" xr:uid="{00000000-0005-0000-0000-000003000000}"/>
    <cellStyle name="Обычный 2 4" xfId="4" xr:uid="{00000000-0005-0000-0000-000004000000}"/>
    <cellStyle name="Обычный 3" xfId="3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view="pageBreakPreview" zoomScale="130" zoomScaleNormal="130" zoomScaleSheetLayoutView="130" zoomScalePageLayoutView="120" workbookViewId="0">
      <selection activeCell="F36" sqref="F36"/>
    </sheetView>
  </sheetViews>
  <sheetFormatPr defaultColWidth="9.140625" defaultRowHeight="15" x14ac:dyDescent="0.25"/>
  <cols>
    <col min="1" max="1" width="12" style="1" customWidth="1"/>
    <col min="2" max="2" width="9.140625" style="1"/>
    <col min="3" max="3" width="9.140625" style="1" customWidth="1"/>
    <col min="4" max="4" width="9.140625" style="1"/>
    <col min="5" max="7" width="6.140625" style="1" customWidth="1"/>
    <col min="8" max="8" width="11.7109375" style="1" customWidth="1"/>
    <col min="9" max="9" width="24.7109375" style="1" customWidth="1"/>
    <col min="10" max="16384" width="9.140625" style="1"/>
  </cols>
  <sheetData>
    <row r="1" spans="1:9" x14ac:dyDescent="0.25">
      <c r="H1" s="2"/>
      <c r="I1" s="3" t="s">
        <v>17</v>
      </c>
    </row>
    <row r="2" spans="1:9" x14ac:dyDescent="0.25">
      <c r="A2" s="1" t="s">
        <v>15</v>
      </c>
      <c r="B2" s="45"/>
      <c r="C2" s="45"/>
      <c r="D2" s="45"/>
      <c r="H2" s="46"/>
      <c r="I2" s="46"/>
    </row>
    <row r="3" spans="1:9" x14ac:dyDescent="0.25">
      <c r="A3" s="1" t="s">
        <v>16</v>
      </c>
      <c r="B3" s="45"/>
      <c r="C3" s="45"/>
      <c r="D3" s="45"/>
      <c r="H3" s="46"/>
      <c r="I3" s="46"/>
    </row>
    <row r="10" spans="1:9" ht="20.100000000000001" customHeight="1" x14ac:dyDescent="0.25"/>
    <row r="14" spans="1:9" ht="20.100000000000001" customHeight="1" x14ac:dyDescent="0.25"/>
    <row r="15" spans="1:9" ht="20.100000000000001" customHeight="1" x14ac:dyDescent="0.25">
      <c r="A15" s="47"/>
      <c r="B15" s="47"/>
      <c r="C15" s="47"/>
      <c r="D15" s="47"/>
      <c r="E15" s="48"/>
      <c r="F15" s="48"/>
      <c r="G15" s="48"/>
      <c r="H15" s="48"/>
      <c r="I15" s="48"/>
    </row>
    <row r="16" spans="1:9" ht="29.25" customHeight="1" x14ac:dyDescent="0.25">
      <c r="A16" s="50" t="s">
        <v>21</v>
      </c>
      <c r="B16" s="50"/>
      <c r="C16" s="50"/>
      <c r="D16" s="50"/>
      <c r="E16" s="50"/>
      <c r="F16" s="50"/>
      <c r="G16" s="50"/>
      <c r="H16" s="50"/>
      <c r="I16" s="50"/>
    </row>
    <row r="17" spans="1:9" ht="20.100000000000001" customHeight="1" x14ac:dyDescent="0.25">
      <c r="A17" s="51" t="s">
        <v>1</v>
      </c>
      <c r="B17" s="51"/>
      <c r="C17" s="51"/>
      <c r="D17" s="51"/>
      <c r="E17" s="51"/>
      <c r="F17" s="51"/>
      <c r="G17" s="51"/>
      <c r="H17" s="51"/>
      <c r="I17" s="51"/>
    </row>
    <row r="18" spans="1:9" ht="45" customHeight="1" x14ac:dyDescent="0.25">
      <c r="A18" s="52"/>
      <c r="B18" s="52"/>
      <c r="C18" s="52"/>
      <c r="D18" s="52"/>
      <c r="E18" s="52"/>
      <c r="F18" s="52"/>
      <c r="G18" s="52"/>
      <c r="H18" s="52"/>
      <c r="I18" s="52"/>
    </row>
    <row r="19" spans="1:9" ht="15" customHeight="1" x14ac:dyDescent="0.25">
      <c r="A19" s="52"/>
      <c r="B19" s="52"/>
      <c r="C19" s="52"/>
      <c r="D19" s="52"/>
      <c r="E19" s="52"/>
      <c r="F19" s="52"/>
      <c r="G19" s="52"/>
      <c r="H19" s="52"/>
      <c r="I19" s="52"/>
    </row>
    <row r="20" spans="1:9" ht="15" customHeight="1" x14ac:dyDescent="0.25">
      <c r="A20" s="52"/>
      <c r="B20" s="52"/>
      <c r="C20" s="52"/>
      <c r="D20" s="52"/>
      <c r="E20" s="52"/>
      <c r="F20" s="52"/>
      <c r="G20" s="52"/>
      <c r="H20" s="52"/>
      <c r="I20" s="52"/>
    </row>
    <row r="21" spans="1:9" ht="15" customHeight="1" x14ac:dyDescent="0.25">
      <c r="A21" s="52"/>
      <c r="B21" s="52"/>
      <c r="C21" s="52"/>
      <c r="D21" s="52"/>
      <c r="E21" s="52"/>
      <c r="F21" s="52"/>
      <c r="G21" s="52"/>
      <c r="H21" s="52"/>
      <c r="I21" s="52"/>
    </row>
    <row r="22" spans="1:9" ht="20.100000000000001" customHeight="1" x14ac:dyDescent="0.25">
      <c r="A22" s="53" t="s">
        <v>10</v>
      </c>
      <c r="B22" s="53"/>
      <c r="C22" s="53"/>
      <c r="D22" s="53"/>
      <c r="E22" s="53"/>
      <c r="F22" s="53"/>
      <c r="G22" s="53"/>
      <c r="H22" s="53"/>
      <c r="I22" s="53"/>
    </row>
    <row r="23" spans="1:9" ht="14.25" customHeight="1" x14ac:dyDescent="0.25">
      <c r="A23" s="54"/>
      <c r="B23" s="54"/>
      <c r="C23" s="54"/>
      <c r="D23" s="54"/>
      <c r="E23" s="54"/>
      <c r="F23" s="54"/>
      <c r="G23" s="54"/>
      <c r="H23" s="54"/>
      <c r="I23" s="54"/>
    </row>
    <row r="24" spans="1:9" ht="15.75" customHeight="1" x14ac:dyDescent="0.25">
      <c r="A24" s="54"/>
      <c r="B24" s="54"/>
      <c r="C24" s="54"/>
      <c r="D24" s="54"/>
      <c r="E24" s="54"/>
      <c r="F24" s="54"/>
      <c r="G24" s="54"/>
      <c r="H24" s="54"/>
      <c r="I24" s="54"/>
    </row>
    <row r="25" spans="1:9" ht="15.75" customHeight="1" x14ac:dyDescent="0.25">
      <c r="A25" s="54"/>
      <c r="B25" s="54"/>
      <c r="C25" s="54"/>
      <c r="D25" s="54"/>
      <c r="E25" s="54"/>
      <c r="F25" s="54"/>
      <c r="G25" s="54"/>
      <c r="H25" s="54"/>
      <c r="I25" s="54"/>
    </row>
    <row r="26" spans="1:9" ht="15.75" customHeight="1" x14ac:dyDescent="0.25">
      <c r="A26" s="52"/>
      <c r="B26" s="52"/>
      <c r="C26" s="52"/>
      <c r="D26" s="52"/>
      <c r="E26" s="52"/>
      <c r="F26" s="52"/>
      <c r="G26" s="52"/>
      <c r="H26" s="52"/>
      <c r="I26" s="52"/>
    </row>
    <row r="27" spans="1:9" ht="20.100000000000001" customHeight="1" x14ac:dyDescent="0.25">
      <c r="A27" s="49" t="s">
        <v>9</v>
      </c>
      <c r="B27" s="49"/>
      <c r="C27" s="49"/>
      <c r="D27" s="49"/>
      <c r="E27" s="49"/>
      <c r="F27" s="49"/>
      <c r="G27" s="49"/>
      <c r="H27" s="49"/>
      <c r="I27" s="49"/>
    </row>
    <row r="28" spans="1:9" ht="20.100000000000001" customHeight="1" x14ac:dyDescent="0.25"/>
    <row r="29" spans="1:9" ht="20.100000000000001" customHeight="1" x14ac:dyDescent="0.25">
      <c r="A29" s="47"/>
      <c r="B29" s="47"/>
    </row>
    <row r="30" spans="1:9" ht="20.100000000000001" customHeight="1" x14ac:dyDescent="0.25">
      <c r="A30" s="47"/>
      <c r="B30" s="47"/>
      <c r="C30" s="47"/>
      <c r="D30" s="47"/>
      <c r="E30" s="47"/>
      <c r="F30" s="47"/>
      <c r="G30" s="47"/>
      <c r="H30" s="47"/>
      <c r="I30" s="47"/>
    </row>
    <row r="31" spans="1:9" ht="20.100000000000001" customHeight="1" x14ac:dyDescent="0.25">
      <c r="A31" s="47"/>
      <c r="B31" s="47"/>
      <c r="C31" s="47"/>
    </row>
    <row r="32" spans="1:9" ht="19.5" customHeight="1" x14ac:dyDescent="0.25"/>
    <row r="33" spans="1:6" ht="19.5" customHeight="1" x14ac:dyDescent="0.25"/>
    <row r="40" spans="1:6" ht="18.75" customHeight="1" x14ac:dyDescent="0.25">
      <c r="A40" s="47" t="s">
        <v>18</v>
      </c>
      <c r="B40" s="47"/>
      <c r="C40" s="4" t="s">
        <v>20</v>
      </c>
      <c r="D40" s="4"/>
      <c r="E40" s="4"/>
      <c r="F40" s="4"/>
    </row>
    <row r="41" spans="1:6" ht="18.75" customHeight="1" x14ac:dyDescent="0.25">
      <c r="A41" s="47" t="s">
        <v>19</v>
      </c>
      <c r="B41" s="47"/>
      <c r="C41" s="4" t="s">
        <v>20</v>
      </c>
    </row>
    <row r="47" spans="1:6" hidden="1" x14ac:dyDescent="0.25"/>
    <row r="48" spans="1:6" ht="7.5" customHeight="1" x14ac:dyDescent="0.25"/>
    <row r="49" ht="7.5" customHeight="1" x14ac:dyDescent="0.25"/>
    <row r="51" ht="7.5" customHeight="1" x14ac:dyDescent="0.25"/>
  </sheetData>
  <mergeCells count="23">
    <mergeCell ref="A29:B29"/>
    <mergeCell ref="A30:I30"/>
    <mergeCell ref="A31:C31"/>
    <mergeCell ref="A40:B40"/>
    <mergeCell ref="A41:B41"/>
    <mergeCell ref="A27:I27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B2:D2"/>
    <mergeCell ref="H2:I2"/>
    <mergeCell ref="B3:D3"/>
    <mergeCell ref="H3:I3"/>
    <mergeCell ref="A15:D15"/>
    <mergeCell ref="E15:I15"/>
  </mergeCells>
  <printOptions horizontalCentered="1"/>
  <pageMargins left="0.59055118110236227" right="0.59055118110236227" top="0.47244094488188981" bottom="0.47244094488188981" header="0" footer="0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view="pageBreakPreview" topLeftCell="A8" zoomScale="70" zoomScaleNormal="100" zoomScaleSheetLayoutView="70" workbookViewId="0">
      <selection activeCell="A10" sqref="A10:XFD21"/>
    </sheetView>
  </sheetViews>
  <sheetFormatPr defaultColWidth="9.140625" defaultRowHeight="12.75" x14ac:dyDescent="0.2"/>
  <cols>
    <col min="1" max="1" width="23.28515625" style="13" customWidth="1"/>
    <col min="2" max="2" width="11.7109375" style="13" customWidth="1"/>
    <col min="3" max="3" width="17.28515625" style="13" customWidth="1"/>
    <col min="4" max="4" width="22" style="13" customWidth="1"/>
    <col min="5" max="5" width="14.140625" style="13" customWidth="1"/>
    <col min="6" max="6" width="21.7109375" style="13" customWidth="1"/>
    <col min="7" max="7" width="30.5703125" style="13" customWidth="1"/>
    <col min="8" max="16384" width="9.140625" style="13"/>
  </cols>
  <sheetData>
    <row r="1" spans="1:8" ht="51" customHeight="1" x14ac:dyDescent="0.2">
      <c r="A1" s="55" t="s">
        <v>22</v>
      </c>
      <c r="B1" s="55"/>
      <c r="C1" s="55"/>
      <c r="D1" s="55"/>
      <c r="E1" s="55"/>
      <c r="F1" s="55"/>
      <c r="G1" s="55"/>
    </row>
    <row r="2" spans="1:8" ht="51" x14ac:dyDescent="0.2">
      <c r="A2" s="56" t="s">
        <v>23</v>
      </c>
      <c r="B2" s="56"/>
      <c r="C2" s="14" t="s">
        <v>24</v>
      </c>
      <c r="D2" s="14" t="s">
        <v>25</v>
      </c>
      <c r="E2" s="14" t="s">
        <v>26</v>
      </c>
      <c r="F2" s="14" t="s">
        <v>27</v>
      </c>
      <c r="G2" s="14" t="s">
        <v>28</v>
      </c>
    </row>
    <row r="3" spans="1:8" x14ac:dyDescent="0.2">
      <c r="A3" s="57"/>
      <c r="B3" s="57"/>
      <c r="C3" s="15"/>
      <c r="D3" s="15"/>
      <c r="E3" s="15"/>
      <c r="F3" s="15"/>
      <c r="G3" s="15"/>
    </row>
    <row r="4" spans="1:8" ht="19.5" customHeight="1" x14ac:dyDescent="0.2"/>
    <row r="5" spans="1:8" ht="13.5" customHeight="1" x14ac:dyDescent="0.2">
      <c r="A5" s="58" t="s">
        <v>29</v>
      </c>
      <c r="B5" s="58"/>
      <c r="C5" s="58"/>
      <c r="D5" s="58"/>
      <c r="E5" s="58"/>
      <c r="F5" s="58"/>
      <c r="G5" s="58"/>
    </row>
    <row r="7" spans="1:8" ht="30.75" customHeight="1" x14ac:dyDescent="0.2">
      <c r="A7" s="59" t="s">
        <v>23</v>
      </c>
      <c r="B7" s="59" t="s">
        <v>30</v>
      </c>
      <c r="C7" s="59" t="s">
        <v>31</v>
      </c>
      <c r="D7" s="61" t="s">
        <v>32</v>
      </c>
      <c r="E7" s="62"/>
      <c r="F7" s="63"/>
      <c r="G7" s="59" t="s">
        <v>33</v>
      </c>
    </row>
    <row r="8" spans="1:8" ht="38.25" x14ac:dyDescent="0.2">
      <c r="A8" s="60"/>
      <c r="B8" s="60"/>
      <c r="C8" s="60"/>
      <c r="D8" s="5" t="s">
        <v>34</v>
      </c>
      <c r="E8" s="5" t="s">
        <v>35</v>
      </c>
      <c r="F8" s="5" t="s">
        <v>36</v>
      </c>
      <c r="G8" s="60"/>
    </row>
    <row r="9" spans="1:8" ht="53.25" customHeight="1" x14ac:dyDescent="0.2">
      <c r="A9" s="6" t="s">
        <v>129</v>
      </c>
      <c r="B9" s="6">
        <v>5</v>
      </c>
      <c r="C9" s="6" t="s">
        <v>130</v>
      </c>
      <c r="D9" s="6" t="s">
        <v>131</v>
      </c>
      <c r="E9" s="7" t="s">
        <v>132</v>
      </c>
      <c r="F9" s="10" t="s">
        <v>37</v>
      </c>
      <c r="G9" s="8"/>
      <c r="H9" s="16"/>
    </row>
    <row r="10" spans="1:8" ht="53.25" customHeight="1" x14ac:dyDescent="0.2"/>
    <row r="11" spans="1:8" ht="53.25" customHeight="1" x14ac:dyDescent="0.2"/>
    <row r="12" spans="1:8" ht="53.25" customHeight="1" x14ac:dyDescent="0.2"/>
  </sheetData>
  <mergeCells count="9">
    <mergeCell ref="A1:G1"/>
    <mergeCell ref="A2:B2"/>
    <mergeCell ref="A3:B3"/>
    <mergeCell ref="A5:G5"/>
    <mergeCell ref="A7:A8"/>
    <mergeCell ref="B7:B8"/>
    <mergeCell ref="C7:C8"/>
    <mergeCell ref="D7:F7"/>
    <mergeCell ref="G7:G8"/>
  </mergeCells>
  <pageMargins left="0.7" right="0.7" top="0.75" bottom="0.75" header="0.3" footer="0.3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X31"/>
  <sheetViews>
    <sheetView tabSelected="1" view="pageBreakPreview" zoomScale="70" zoomScaleNormal="80" zoomScaleSheetLayoutView="70" workbookViewId="0">
      <selection activeCell="H4" sqref="H4"/>
    </sheetView>
  </sheetViews>
  <sheetFormatPr defaultColWidth="9.140625" defaultRowHeight="27.75" customHeight="1" x14ac:dyDescent="0.2"/>
  <cols>
    <col min="1" max="1" width="9.140625" style="26"/>
    <col min="2" max="2" width="6" style="26" customWidth="1"/>
    <col min="3" max="3" width="19.42578125" style="26" customWidth="1"/>
    <col min="4" max="4" width="9" style="26" customWidth="1"/>
    <col min="5" max="5" width="10.7109375" style="26" customWidth="1"/>
    <col min="6" max="6" width="9.85546875" style="26" customWidth="1"/>
    <col min="7" max="7" width="27.85546875" style="26" customWidth="1"/>
    <col min="8" max="8" width="20" style="26" customWidth="1"/>
    <col min="9" max="9" width="12.5703125" style="26" customWidth="1"/>
    <col min="10" max="10" width="23.85546875" style="26" customWidth="1"/>
    <col min="11" max="12" width="12.5703125" style="26" customWidth="1"/>
    <col min="13" max="13" width="19.140625" style="26" customWidth="1"/>
    <col min="14" max="14" width="8.5703125" style="26" customWidth="1"/>
    <col min="15" max="15" width="33.28515625" style="27" customWidth="1"/>
    <col min="16" max="17" width="8.28515625" style="26" customWidth="1"/>
    <col min="18" max="18" width="12.140625" style="26" customWidth="1"/>
    <col min="19" max="19" width="8.28515625" style="26" customWidth="1"/>
    <col min="20" max="20" width="10.7109375" style="26" customWidth="1"/>
    <col min="21" max="21" width="8.7109375" style="24" customWidth="1"/>
    <col min="22" max="22" width="21.42578125" style="26" customWidth="1"/>
    <col min="23" max="23" width="17.28515625" style="27" customWidth="1"/>
    <col min="24" max="24" width="11.7109375" style="26" customWidth="1"/>
    <col min="25" max="16384" width="9.140625" style="26"/>
  </cols>
  <sheetData>
    <row r="1" spans="1:24" s="25" customFormat="1" ht="150" x14ac:dyDescent="0.25">
      <c r="B1" s="38" t="s">
        <v>0</v>
      </c>
      <c r="C1" s="38" t="s">
        <v>41</v>
      </c>
      <c r="D1" s="38" t="s">
        <v>42</v>
      </c>
      <c r="E1" s="38" t="s">
        <v>38</v>
      </c>
      <c r="F1" s="38" t="s">
        <v>39</v>
      </c>
      <c r="G1" s="38" t="s">
        <v>2</v>
      </c>
      <c r="H1" s="38" t="s">
        <v>88</v>
      </c>
      <c r="I1" s="38" t="s">
        <v>89</v>
      </c>
      <c r="J1" s="38" t="s">
        <v>87</v>
      </c>
      <c r="K1" s="38" t="s">
        <v>87</v>
      </c>
      <c r="L1" s="38" t="s">
        <v>86</v>
      </c>
      <c r="M1" s="38" t="s">
        <v>11</v>
      </c>
      <c r="N1" s="38" t="s">
        <v>3</v>
      </c>
      <c r="O1" s="38" t="s">
        <v>4</v>
      </c>
      <c r="P1" s="38" t="s">
        <v>14</v>
      </c>
      <c r="Q1" s="38" t="s">
        <v>45</v>
      </c>
      <c r="R1" s="38" t="s">
        <v>46</v>
      </c>
      <c r="S1" s="38" t="s">
        <v>5</v>
      </c>
      <c r="T1" s="38" t="s">
        <v>12</v>
      </c>
      <c r="U1" s="38" t="s">
        <v>6</v>
      </c>
      <c r="V1" s="42" t="s">
        <v>7</v>
      </c>
      <c r="W1" s="38" t="s">
        <v>8</v>
      </c>
      <c r="X1" s="41" t="s">
        <v>13</v>
      </c>
    </row>
    <row r="2" spans="1:24" s="25" customFormat="1" ht="15" x14ac:dyDescent="0.25">
      <c r="B2" s="9">
        <v>1</v>
      </c>
      <c r="C2" s="9">
        <v>2</v>
      </c>
      <c r="D2" s="9">
        <v>3</v>
      </c>
      <c r="E2" s="9">
        <v>4</v>
      </c>
      <c r="F2" s="9">
        <v>5</v>
      </c>
      <c r="G2" s="28">
        <v>6</v>
      </c>
      <c r="H2" s="9">
        <v>7</v>
      </c>
      <c r="I2" s="9">
        <v>8</v>
      </c>
      <c r="J2" s="9">
        <v>9</v>
      </c>
      <c r="K2" s="9">
        <v>10</v>
      </c>
      <c r="L2" s="9">
        <v>11</v>
      </c>
      <c r="M2" s="9">
        <v>12</v>
      </c>
      <c r="N2" s="9">
        <v>13</v>
      </c>
      <c r="O2" s="9">
        <v>14</v>
      </c>
      <c r="P2" s="9">
        <v>15</v>
      </c>
      <c r="Q2" s="9">
        <v>16</v>
      </c>
      <c r="R2" s="9">
        <v>17</v>
      </c>
      <c r="S2" s="9">
        <v>18</v>
      </c>
      <c r="T2" s="9">
        <v>19</v>
      </c>
      <c r="U2" s="9">
        <v>20</v>
      </c>
      <c r="V2" s="9">
        <v>21</v>
      </c>
      <c r="W2" s="9">
        <v>22</v>
      </c>
      <c r="X2" s="9">
        <v>23</v>
      </c>
    </row>
    <row r="3" spans="1:24" s="25" customFormat="1" ht="82.5" customHeight="1" x14ac:dyDescent="0.25">
      <c r="A3" s="25" t="str">
        <f>_xlfn.CONCAT(D3,"-",E3)</f>
        <v>Т91-5/1</v>
      </c>
      <c r="B3" s="30">
        <v>1</v>
      </c>
      <c r="C3" s="31" t="s">
        <v>108</v>
      </c>
      <c r="D3" s="31" t="s">
        <v>107</v>
      </c>
      <c r="E3" s="43" t="s">
        <v>109</v>
      </c>
      <c r="F3" s="32" t="s">
        <v>40</v>
      </c>
      <c r="G3" s="33" t="s">
        <v>106</v>
      </c>
      <c r="H3" s="31" t="s">
        <v>104</v>
      </c>
      <c r="I3" s="31" t="s">
        <v>105</v>
      </c>
      <c r="J3" s="31" t="s">
        <v>104</v>
      </c>
      <c r="K3" s="31" t="s">
        <v>105</v>
      </c>
      <c r="L3" s="30">
        <v>499.51</v>
      </c>
      <c r="M3" s="34" t="s">
        <v>115</v>
      </c>
      <c r="N3" s="35" t="s">
        <v>103</v>
      </c>
      <c r="O3" s="36" t="s">
        <v>128</v>
      </c>
      <c r="P3" s="37"/>
      <c r="Q3" s="38"/>
      <c r="R3" s="39"/>
      <c r="S3" s="38"/>
      <c r="T3" s="38"/>
      <c r="U3" s="38"/>
      <c r="V3" s="40"/>
      <c r="W3" s="36"/>
      <c r="X3" s="41"/>
    </row>
    <row r="4" spans="1:24" s="25" customFormat="1" ht="82.5" customHeight="1" x14ac:dyDescent="0.25">
      <c r="A4" s="25" t="str">
        <f t="shared" ref="A4:A25" si="0">_xlfn.CONCAT(D4,"-",E4)</f>
        <v>Т91-6</v>
      </c>
      <c r="B4" s="30">
        <v>2</v>
      </c>
      <c r="C4" s="31" t="s">
        <v>108</v>
      </c>
      <c r="D4" s="31" t="s">
        <v>107</v>
      </c>
      <c r="E4" s="43">
        <v>6</v>
      </c>
      <c r="F4" s="32" t="s">
        <v>40</v>
      </c>
      <c r="G4" s="33" t="s">
        <v>106</v>
      </c>
      <c r="H4" s="31" t="s">
        <v>104</v>
      </c>
      <c r="I4" s="31" t="s">
        <v>105</v>
      </c>
      <c r="J4" s="31" t="s">
        <v>112</v>
      </c>
      <c r="K4" s="31" t="s">
        <v>105</v>
      </c>
      <c r="L4" s="30">
        <v>499.51</v>
      </c>
      <c r="M4" s="34" t="s">
        <v>115</v>
      </c>
      <c r="N4" s="35" t="s">
        <v>103</v>
      </c>
      <c r="O4" s="36" t="s">
        <v>128</v>
      </c>
      <c r="P4" s="37"/>
      <c r="Q4" s="38"/>
      <c r="R4" s="39"/>
      <c r="S4" s="38"/>
      <c r="T4" s="38"/>
      <c r="U4" s="38"/>
      <c r="V4" s="40"/>
      <c r="W4" s="36"/>
      <c r="X4" s="41"/>
    </row>
    <row r="5" spans="1:24" s="25" customFormat="1" ht="82.5" customHeight="1" x14ac:dyDescent="0.25">
      <c r="A5" s="25" t="str">
        <f t="shared" si="0"/>
        <v>Т91-7</v>
      </c>
      <c r="B5" s="30">
        <v>3</v>
      </c>
      <c r="C5" s="31" t="s">
        <v>108</v>
      </c>
      <c r="D5" s="31" t="s">
        <v>107</v>
      </c>
      <c r="E5" s="43">
        <v>7</v>
      </c>
      <c r="F5" s="32" t="s">
        <v>40</v>
      </c>
      <c r="G5" s="33" t="s">
        <v>106</v>
      </c>
      <c r="H5" s="31" t="s">
        <v>112</v>
      </c>
      <c r="I5" s="31" t="s">
        <v>105</v>
      </c>
      <c r="J5" s="31" t="s">
        <v>104</v>
      </c>
      <c r="K5" s="31" t="s">
        <v>105</v>
      </c>
      <c r="L5" s="30">
        <v>499.51</v>
      </c>
      <c r="M5" s="34" t="s">
        <v>115</v>
      </c>
      <c r="N5" s="35" t="s">
        <v>103</v>
      </c>
      <c r="O5" s="36" t="s">
        <v>128</v>
      </c>
      <c r="P5" s="37"/>
      <c r="Q5" s="38"/>
      <c r="R5" s="39"/>
      <c r="S5" s="38"/>
      <c r="T5" s="38"/>
      <c r="U5" s="38"/>
      <c r="V5" s="40"/>
      <c r="W5" s="36"/>
      <c r="X5" s="41"/>
    </row>
    <row r="6" spans="1:24" s="25" customFormat="1" ht="82.5" customHeight="1" x14ac:dyDescent="0.25">
      <c r="A6" s="25" t="str">
        <f t="shared" si="0"/>
        <v>Т91-8</v>
      </c>
      <c r="B6" s="30">
        <v>4</v>
      </c>
      <c r="C6" s="31" t="s">
        <v>108</v>
      </c>
      <c r="D6" s="31" t="s">
        <v>107</v>
      </c>
      <c r="E6" s="43">
        <v>8</v>
      </c>
      <c r="F6" s="32" t="s">
        <v>40</v>
      </c>
      <c r="G6" s="33" t="s">
        <v>106</v>
      </c>
      <c r="H6" s="31" t="s">
        <v>104</v>
      </c>
      <c r="I6" s="31" t="s">
        <v>105</v>
      </c>
      <c r="J6" s="31" t="s">
        <v>112</v>
      </c>
      <c r="K6" s="31" t="s">
        <v>105</v>
      </c>
      <c r="L6" s="30">
        <v>499.51</v>
      </c>
      <c r="M6" s="34" t="s">
        <v>116</v>
      </c>
      <c r="N6" s="35" t="s">
        <v>103</v>
      </c>
      <c r="O6" s="36" t="s">
        <v>128</v>
      </c>
      <c r="P6" s="37"/>
      <c r="Q6" s="38"/>
      <c r="R6" s="39"/>
      <c r="S6" s="38"/>
      <c r="T6" s="38"/>
      <c r="U6" s="38"/>
      <c r="V6" s="40"/>
      <c r="W6" s="36"/>
      <c r="X6" s="41"/>
    </row>
    <row r="7" spans="1:24" s="25" customFormat="1" ht="82.5" customHeight="1" x14ac:dyDescent="0.25">
      <c r="A7" s="25" t="str">
        <f t="shared" si="0"/>
        <v>Т91-9</v>
      </c>
      <c r="B7" s="30">
        <v>5</v>
      </c>
      <c r="C7" s="31" t="s">
        <v>108</v>
      </c>
      <c r="D7" s="31" t="s">
        <v>107</v>
      </c>
      <c r="E7" s="43">
        <v>9</v>
      </c>
      <c r="F7" s="32" t="s">
        <v>40</v>
      </c>
      <c r="G7" s="33" t="s">
        <v>106</v>
      </c>
      <c r="H7" s="31" t="s">
        <v>112</v>
      </c>
      <c r="I7" s="31" t="s">
        <v>105</v>
      </c>
      <c r="J7" s="31" t="s">
        <v>104</v>
      </c>
      <c r="K7" s="31" t="s">
        <v>105</v>
      </c>
      <c r="L7" s="30">
        <v>499.51</v>
      </c>
      <c r="M7" s="34" t="s">
        <v>116</v>
      </c>
      <c r="N7" s="35" t="s">
        <v>103</v>
      </c>
      <c r="O7" s="36" t="s">
        <v>128</v>
      </c>
      <c r="P7" s="37"/>
      <c r="Q7" s="38"/>
      <c r="R7" s="39"/>
      <c r="S7" s="38"/>
      <c r="T7" s="38"/>
      <c r="U7" s="38"/>
      <c r="V7" s="40"/>
      <c r="W7" s="36"/>
      <c r="X7" s="41"/>
    </row>
    <row r="8" spans="1:24" s="25" customFormat="1" ht="82.5" customHeight="1" x14ac:dyDescent="0.25">
      <c r="A8" s="25" t="str">
        <f t="shared" si="0"/>
        <v>Т91-17/1</v>
      </c>
      <c r="B8" s="30">
        <v>6</v>
      </c>
      <c r="C8" s="31" t="s">
        <v>108</v>
      </c>
      <c r="D8" s="31" t="s">
        <v>107</v>
      </c>
      <c r="E8" s="43" t="s">
        <v>110</v>
      </c>
      <c r="F8" s="32" t="s">
        <v>40</v>
      </c>
      <c r="G8" s="33" t="s">
        <v>106</v>
      </c>
      <c r="H8" s="31" t="s">
        <v>104</v>
      </c>
      <c r="I8" s="31" t="s">
        <v>105</v>
      </c>
      <c r="J8" s="31" t="s">
        <v>104</v>
      </c>
      <c r="K8" s="31" t="s">
        <v>105</v>
      </c>
      <c r="L8" s="30">
        <v>499.51</v>
      </c>
      <c r="M8" s="34" t="s">
        <v>116</v>
      </c>
      <c r="N8" s="35" t="s">
        <v>103</v>
      </c>
      <c r="O8" s="36" t="s">
        <v>128</v>
      </c>
      <c r="P8" s="37"/>
      <c r="Q8" s="38"/>
      <c r="R8" s="39"/>
      <c r="S8" s="38"/>
      <c r="T8" s="38"/>
      <c r="U8" s="38"/>
      <c r="V8" s="40"/>
      <c r="W8" s="36"/>
      <c r="X8" s="41"/>
    </row>
    <row r="9" spans="1:24" s="25" customFormat="1" ht="82.5" customHeight="1" x14ac:dyDescent="0.25">
      <c r="A9" s="25" t="str">
        <f t="shared" si="0"/>
        <v>Т91-17</v>
      </c>
      <c r="B9" s="30">
        <v>7</v>
      </c>
      <c r="C9" s="31" t="s">
        <v>108</v>
      </c>
      <c r="D9" s="31" t="s">
        <v>107</v>
      </c>
      <c r="E9" s="43">
        <v>17</v>
      </c>
      <c r="F9" s="32" t="s">
        <v>40</v>
      </c>
      <c r="G9" s="33" t="s">
        <v>106</v>
      </c>
      <c r="H9" s="31" t="s">
        <v>104</v>
      </c>
      <c r="I9" s="31" t="s">
        <v>105</v>
      </c>
      <c r="J9" s="31" t="s">
        <v>112</v>
      </c>
      <c r="K9" s="31" t="s">
        <v>105</v>
      </c>
      <c r="L9" s="30">
        <v>499.51</v>
      </c>
      <c r="M9" s="34" t="s">
        <v>117</v>
      </c>
      <c r="N9" s="35" t="s">
        <v>103</v>
      </c>
      <c r="O9" s="36" t="s">
        <v>128</v>
      </c>
      <c r="P9" s="37"/>
      <c r="Q9" s="38"/>
      <c r="R9" s="39"/>
      <c r="S9" s="38"/>
      <c r="T9" s="38"/>
      <c r="U9" s="38"/>
      <c r="V9" s="40"/>
      <c r="W9" s="36"/>
      <c r="X9" s="41"/>
    </row>
    <row r="10" spans="1:24" s="25" customFormat="1" ht="82.5" customHeight="1" x14ac:dyDescent="0.25">
      <c r="A10" s="25" t="str">
        <f t="shared" si="0"/>
        <v>Т91-18</v>
      </c>
      <c r="B10" s="30">
        <v>8</v>
      </c>
      <c r="C10" s="31" t="s">
        <v>108</v>
      </c>
      <c r="D10" s="31" t="s">
        <v>107</v>
      </c>
      <c r="E10" s="43">
        <v>18</v>
      </c>
      <c r="F10" s="32" t="s">
        <v>40</v>
      </c>
      <c r="G10" s="33" t="s">
        <v>106</v>
      </c>
      <c r="H10" s="31" t="s">
        <v>112</v>
      </c>
      <c r="I10" s="31" t="s">
        <v>105</v>
      </c>
      <c r="J10" s="31" t="s">
        <v>104</v>
      </c>
      <c r="K10" s="31" t="s">
        <v>105</v>
      </c>
      <c r="L10" s="30">
        <v>499.51</v>
      </c>
      <c r="M10" s="34" t="s">
        <v>117</v>
      </c>
      <c r="N10" s="35" t="s">
        <v>103</v>
      </c>
      <c r="O10" s="36" t="s">
        <v>128</v>
      </c>
      <c r="P10" s="37"/>
      <c r="Q10" s="38"/>
      <c r="R10" s="39"/>
      <c r="S10" s="38"/>
      <c r="T10" s="38"/>
      <c r="U10" s="38"/>
      <c r="V10" s="40"/>
      <c r="W10" s="36"/>
      <c r="X10" s="41"/>
    </row>
    <row r="11" spans="1:24" s="25" customFormat="1" ht="82.5" customHeight="1" x14ac:dyDescent="0.25">
      <c r="A11" s="25" t="str">
        <f t="shared" si="0"/>
        <v>Т91-19</v>
      </c>
      <c r="B11" s="30">
        <v>9</v>
      </c>
      <c r="C11" s="31" t="s">
        <v>108</v>
      </c>
      <c r="D11" s="31" t="s">
        <v>107</v>
      </c>
      <c r="E11" s="43">
        <v>19</v>
      </c>
      <c r="F11" s="32" t="s">
        <v>40</v>
      </c>
      <c r="G11" s="33" t="s">
        <v>106</v>
      </c>
      <c r="H11" s="31" t="s">
        <v>114</v>
      </c>
      <c r="I11" s="31" t="s">
        <v>105</v>
      </c>
      <c r="J11" s="31" t="s">
        <v>104</v>
      </c>
      <c r="K11" s="31" t="s">
        <v>105</v>
      </c>
      <c r="L11" s="30">
        <v>499.51</v>
      </c>
      <c r="M11" s="34" t="s">
        <v>117</v>
      </c>
      <c r="N11" s="35" t="s">
        <v>103</v>
      </c>
      <c r="O11" s="36" t="s">
        <v>128</v>
      </c>
      <c r="P11" s="37"/>
      <c r="Q11" s="38"/>
      <c r="R11" s="39"/>
      <c r="S11" s="38"/>
      <c r="T11" s="38"/>
      <c r="U11" s="38"/>
      <c r="V11" s="40"/>
      <c r="W11" s="36"/>
      <c r="X11" s="41"/>
    </row>
    <row r="12" spans="1:24" s="25" customFormat="1" ht="82.5" customHeight="1" x14ac:dyDescent="0.25">
      <c r="A12" s="25" t="str">
        <f t="shared" si="0"/>
        <v>Т91-10</v>
      </c>
      <c r="B12" s="30">
        <v>10</v>
      </c>
      <c r="C12" s="31" t="s">
        <v>108</v>
      </c>
      <c r="D12" s="31" t="s">
        <v>107</v>
      </c>
      <c r="E12" s="43">
        <v>10</v>
      </c>
      <c r="F12" s="32" t="s">
        <v>40</v>
      </c>
      <c r="G12" s="33" t="s">
        <v>106</v>
      </c>
      <c r="H12" s="31" t="s">
        <v>104</v>
      </c>
      <c r="I12" s="31" t="s">
        <v>105</v>
      </c>
      <c r="J12" s="31" t="s">
        <v>114</v>
      </c>
      <c r="K12" s="31" t="s">
        <v>105</v>
      </c>
      <c r="L12" s="30">
        <v>499.51</v>
      </c>
      <c r="M12" s="34" t="s">
        <v>120</v>
      </c>
      <c r="N12" s="35" t="s">
        <v>103</v>
      </c>
      <c r="O12" s="36" t="s">
        <v>128</v>
      </c>
      <c r="P12" s="37"/>
      <c r="Q12" s="38"/>
      <c r="R12" s="39"/>
      <c r="S12" s="38"/>
      <c r="T12" s="38"/>
      <c r="U12" s="38"/>
      <c r="V12" s="40"/>
      <c r="W12" s="36"/>
      <c r="X12" s="41"/>
    </row>
    <row r="13" spans="1:24" s="25" customFormat="1" ht="82.5" customHeight="1" x14ac:dyDescent="0.25">
      <c r="A13" s="25" t="str">
        <f t="shared" si="0"/>
        <v>Т91-11</v>
      </c>
      <c r="B13" s="30">
        <v>11</v>
      </c>
      <c r="C13" s="31" t="s">
        <v>108</v>
      </c>
      <c r="D13" s="31" t="s">
        <v>107</v>
      </c>
      <c r="E13" s="43">
        <v>11</v>
      </c>
      <c r="F13" s="32" t="s">
        <v>40</v>
      </c>
      <c r="G13" s="33" t="s">
        <v>106</v>
      </c>
      <c r="H13" s="31" t="s">
        <v>114</v>
      </c>
      <c r="I13" s="31" t="s">
        <v>105</v>
      </c>
      <c r="J13" s="31" t="s">
        <v>104</v>
      </c>
      <c r="K13" s="31" t="s">
        <v>105</v>
      </c>
      <c r="L13" s="30">
        <v>499.51</v>
      </c>
      <c r="M13" s="34" t="s">
        <v>120</v>
      </c>
      <c r="N13" s="35" t="s">
        <v>103</v>
      </c>
      <c r="O13" s="36" t="s">
        <v>128</v>
      </c>
      <c r="P13" s="37"/>
      <c r="Q13" s="38"/>
      <c r="R13" s="39"/>
      <c r="S13" s="38"/>
      <c r="T13" s="38"/>
      <c r="U13" s="38"/>
      <c r="V13" s="40"/>
      <c r="W13" s="36"/>
      <c r="X13" s="41"/>
    </row>
    <row r="14" spans="1:24" s="25" customFormat="1" ht="82.5" customHeight="1" x14ac:dyDescent="0.25">
      <c r="A14" s="25" t="str">
        <f t="shared" si="0"/>
        <v>Т91-21</v>
      </c>
      <c r="B14" s="30">
        <v>12</v>
      </c>
      <c r="C14" s="31" t="s">
        <v>108</v>
      </c>
      <c r="D14" s="31" t="s">
        <v>107</v>
      </c>
      <c r="E14" s="43">
        <v>21</v>
      </c>
      <c r="F14" s="32" t="s">
        <v>40</v>
      </c>
      <c r="G14" s="33" t="s">
        <v>106</v>
      </c>
      <c r="H14" s="31" t="s">
        <v>104</v>
      </c>
      <c r="I14" s="31" t="s">
        <v>105</v>
      </c>
      <c r="J14" s="31" t="s">
        <v>112</v>
      </c>
      <c r="K14" s="31" t="s">
        <v>105</v>
      </c>
      <c r="L14" s="30">
        <v>499.51</v>
      </c>
      <c r="M14" s="34" t="s">
        <v>120</v>
      </c>
      <c r="N14" s="35" t="s">
        <v>103</v>
      </c>
      <c r="O14" s="36" t="s">
        <v>128</v>
      </c>
      <c r="P14" s="37"/>
      <c r="Q14" s="38"/>
      <c r="R14" s="39"/>
      <c r="S14" s="38"/>
      <c r="T14" s="38"/>
      <c r="U14" s="38"/>
      <c r="V14" s="40"/>
      <c r="W14" s="36"/>
      <c r="X14" s="41"/>
    </row>
    <row r="15" spans="1:24" s="25" customFormat="1" ht="82.5" customHeight="1" x14ac:dyDescent="0.25">
      <c r="A15" s="25" t="str">
        <f t="shared" si="0"/>
        <v>Т91-22</v>
      </c>
      <c r="B15" s="30">
        <v>13</v>
      </c>
      <c r="C15" s="31" t="s">
        <v>108</v>
      </c>
      <c r="D15" s="31" t="s">
        <v>107</v>
      </c>
      <c r="E15" s="43">
        <v>22</v>
      </c>
      <c r="F15" s="32" t="s">
        <v>40</v>
      </c>
      <c r="G15" s="33" t="s">
        <v>106</v>
      </c>
      <c r="H15" s="31" t="s">
        <v>112</v>
      </c>
      <c r="I15" s="31" t="s">
        <v>105</v>
      </c>
      <c r="J15" s="31" t="s">
        <v>104</v>
      </c>
      <c r="K15" s="31" t="s">
        <v>105</v>
      </c>
      <c r="L15" s="30">
        <v>499.51</v>
      </c>
      <c r="M15" s="34" t="s">
        <v>118</v>
      </c>
      <c r="N15" s="35" t="s">
        <v>103</v>
      </c>
      <c r="O15" s="36" t="s">
        <v>128</v>
      </c>
      <c r="P15" s="37"/>
      <c r="Q15" s="38"/>
      <c r="R15" s="39"/>
      <c r="S15" s="38"/>
      <c r="T15" s="38"/>
      <c r="U15" s="38"/>
      <c r="V15" s="40"/>
      <c r="W15" s="36"/>
      <c r="X15" s="41"/>
    </row>
    <row r="16" spans="1:24" s="25" customFormat="1" ht="82.5" customHeight="1" x14ac:dyDescent="0.25">
      <c r="A16" s="25" t="str">
        <f t="shared" si="0"/>
        <v>Т91-23</v>
      </c>
      <c r="B16" s="30">
        <v>14</v>
      </c>
      <c r="C16" s="31" t="s">
        <v>108</v>
      </c>
      <c r="D16" s="31" t="s">
        <v>107</v>
      </c>
      <c r="E16" s="43">
        <v>23</v>
      </c>
      <c r="F16" s="32" t="s">
        <v>40</v>
      </c>
      <c r="G16" s="33" t="s">
        <v>106</v>
      </c>
      <c r="H16" s="31" t="s">
        <v>104</v>
      </c>
      <c r="I16" s="31" t="s">
        <v>105</v>
      </c>
      <c r="J16" s="31" t="s">
        <v>112</v>
      </c>
      <c r="K16" s="31" t="s">
        <v>105</v>
      </c>
      <c r="L16" s="30">
        <v>499.51</v>
      </c>
      <c r="M16" s="34" t="s">
        <v>118</v>
      </c>
      <c r="N16" s="35" t="s">
        <v>103</v>
      </c>
      <c r="O16" s="36" t="s">
        <v>128</v>
      </c>
      <c r="P16" s="37"/>
      <c r="Q16" s="38"/>
      <c r="R16" s="39"/>
      <c r="S16" s="38"/>
      <c r="T16" s="38"/>
      <c r="U16" s="38"/>
      <c r="V16" s="40"/>
      <c r="W16" s="36"/>
      <c r="X16" s="41"/>
    </row>
    <row r="17" spans="1:24" s="25" customFormat="1" ht="82.5" customHeight="1" x14ac:dyDescent="0.25">
      <c r="A17" s="25" t="str">
        <f t="shared" si="0"/>
        <v>Т91-24</v>
      </c>
      <c r="B17" s="30">
        <v>15</v>
      </c>
      <c r="C17" s="31" t="s">
        <v>108</v>
      </c>
      <c r="D17" s="31" t="s">
        <v>107</v>
      </c>
      <c r="E17" s="43">
        <v>24</v>
      </c>
      <c r="F17" s="32" t="s">
        <v>40</v>
      </c>
      <c r="G17" s="33" t="s">
        <v>106</v>
      </c>
      <c r="H17" s="31" t="s">
        <v>112</v>
      </c>
      <c r="I17" s="31" t="s">
        <v>105</v>
      </c>
      <c r="J17" s="31" t="s">
        <v>104</v>
      </c>
      <c r="K17" s="31" t="s">
        <v>105</v>
      </c>
      <c r="L17" s="30">
        <v>499.51</v>
      </c>
      <c r="M17" s="34" t="s">
        <v>118</v>
      </c>
      <c r="N17" s="35" t="s">
        <v>103</v>
      </c>
      <c r="O17" s="36" t="s">
        <v>128</v>
      </c>
      <c r="P17" s="37"/>
      <c r="Q17" s="38"/>
      <c r="R17" s="39"/>
      <c r="S17" s="38"/>
      <c r="T17" s="38"/>
      <c r="U17" s="38"/>
      <c r="V17" s="40"/>
      <c r="W17" s="36"/>
      <c r="X17" s="41"/>
    </row>
    <row r="18" spans="1:24" s="25" customFormat="1" ht="82.5" customHeight="1" x14ac:dyDescent="0.25">
      <c r="A18" s="25" t="str">
        <f t="shared" si="0"/>
        <v>Т91-25</v>
      </c>
      <c r="B18" s="30">
        <v>16</v>
      </c>
      <c r="C18" s="31" t="s">
        <v>108</v>
      </c>
      <c r="D18" s="31" t="s">
        <v>107</v>
      </c>
      <c r="E18" s="43">
        <v>25</v>
      </c>
      <c r="F18" s="32" t="s">
        <v>40</v>
      </c>
      <c r="G18" s="33" t="s">
        <v>106</v>
      </c>
      <c r="H18" s="31" t="s">
        <v>104</v>
      </c>
      <c r="I18" s="31" t="s">
        <v>105</v>
      </c>
      <c r="J18" s="31" t="s">
        <v>112</v>
      </c>
      <c r="K18" s="31" t="s">
        <v>105</v>
      </c>
      <c r="L18" s="30">
        <v>499.51</v>
      </c>
      <c r="M18" s="34" t="s">
        <v>119</v>
      </c>
      <c r="N18" s="35" t="s">
        <v>103</v>
      </c>
      <c r="O18" s="36" t="s">
        <v>128</v>
      </c>
      <c r="P18" s="37"/>
      <c r="Q18" s="38"/>
      <c r="R18" s="39"/>
      <c r="S18" s="38"/>
      <c r="T18" s="38"/>
      <c r="U18" s="38"/>
      <c r="V18" s="40"/>
      <c r="W18" s="36"/>
      <c r="X18" s="41"/>
    </row>
    <row r="19" spans="1:24" s="25" customFormat="1" ht="82.5" customHeight="1" x14ac:dyDescent="0.25">
      <c r="A19" s="25" t="str">
        <f t="shared" si="0"/>
        <v>Т91-26</v>
      </c>
      <c r="B19" s="30">
        <v>17</v>
      </c>
      <c r="C19" s="31" t="s">
        <v>108</v>
      </c>
      <c r="D19" s="31" t="s">
        <v>107</v>
      </c>
      <c r="E19" s="43">
        <v>26</v>
      </c>
      <c r="F19" s="32" t="s">
        <v>40</v>
      </c>
      <c r="G19" s="33" t="s">
        <v>106</v>
      </c>
      <c r="H19" s="31" t="s">
        <v>112</v>
      </c>
      <c r="I19" s="31" t="s">
        <v>105</v>
      </c>
      <c r="J19" s="31" t="s">
        <v>104</v>
      </c>
      <c r="K19" s="31" t="s">
        <v>105</v>
      </c>
      <c r="L19" s="30">
        <v>499.51</v>
      </c>
      <c r="M19" s="34" t="s">
        <v>119</v>
      </c>
      <c r="N19" s="35" t="s">
        <v>103</v>
      </c>
      <c r="O19" s="36" t="s">
        <v>128</v>
      </c>
      <c r="P19" s="37"/>
      <c r="Q19" s="38"/>
      <c r="R19" s="39"/>
      <c r="S19" s="38"/>
      <c r="T19" s="38"/>
      <c r="U19" s="38"/>
      <c r="V19" s="40"/>
      <c r="W19" s="36"/>
      <c r="X19" s="41"/>
    </row>
    <row r="20" spans="1:24" s="25" customFormat="1" ht="82.5" customHeight="1" x14ac:dyDescent="0.25">
      <c r="A20" s="25" t="str">
        <f t="shared" si="0"/>
        <v>Т91-27</v>
      </c>
      <c r="B20" s="30">
        <v>18</v>
      </c>
      <c r="C20" s="31" t="s">
        <v>108</v>
      </c>
      <c r="D20" s="31" t="s">
        <v>107</v>
      </c>
      <c r="E20" s="43">
        <v>27</v>
      </c>
      <c r="F20" s="32" t="s">
        <v>40</v>
      </c>
      <c r="G20" s="33" t="s">
        <v>106</v>
      </c>
      <c r="H20" s="31" t="s">
        <v>104</v>
      </c>
      <c r="I20" s="31" t="s">
        <v>105</v>
      </c>
      <c r="J20" s="31" t="s">
        <v>112</v>
      </c>
      <c r="K20" s="31" t="s">
        <v>105</v>
      </c>
      <c r="L20" s="30">
        <v>499.51</v>
      </c>
      <c r="M20" s="34" t="s">
        <v>119</v>
      </c>
      <c r="N20" s="35" t="s">
        <v>103</v>
      </c>
      <c r="O20" s="36" t="s">
        <v>128</v>
      </c>
      <c r="P20" s="37"/>
      <c r="Q20" s="38"/>
      <c r="R20" s="39"/>
      <c r="S20" s="38"/>
      <c r="T20" s="38"/>
      <c r="U20" s="38"/>
      <c r="V20" s="40"/>
      <c r="W20" s="36"/>
      <c r="X20" s="41"/>
    </row>
    <row r="21" spans="1:24" s="25" customFormat="1" ht="82.5" customHeight="1" x14ac:dyDescent="0.25">
      <c r="A21" s="25" t="str">
        <f t="shared" si="0"/>
        <v>Т91-28</v>
      </c>
      <c r="B21" s="30">
        <v>19</v>
      </c>
      <c r="C21" s="31" t="s">
        <v>108</v>
      </c>
      <c r="D21" s="31" t="s">
        <v>107</v>
      </c>
      <c r="E21" s="43">
        <v>28</v>
      </c>
      <c r="F21" s="32" t="s">
        <v>40</v>
      </c>
      <c r="G21" s="33" t="s">
        <v>106</v>
      </c>
      <c r="H21" s="31" t="s">
        <v>112</v>
      </c>
      <c r="I21" s="31" t="s">
        <v>105</v>
      </c>
      <c r="J21" s="31" t="s">
        <v>104</v>
      </c>
      <c r="K21" s="31" t="s">
        <v>105</v>
      </c>
      <c r="L21" s="30">
        <v>499.51</v>
      </c>
      <c r="M21" s="34" t="s">
        <v>121</v>
      </c>
      <c r="N21" s="35" t="s">
        <v>103</v>
      </c>
      <c r="O21" s="36" t="s">
        <v>128</v>
      </c>
      <c r="P21" s="37"/>
      <c r="Q21" s="38"/>
      <c r="R21" s="39"/>
      <c r="S21" s="38"/>
      <c r="T21" s="38"/>
      <c r="U21" s="38"/>
      <c r="V21" s="40"/>
      <c r="W21" s="36"/>
      <c r="X21" s="41"/>
    </row>
    <row r="22" spans="1:24" s="25" customFormat="1" ht="82.5" customHeight="1" x14ac:dyDescent="0.25">
      <c r="A22" s="25" t="str">
        <f t="shared" si="0"/>
        <v>Т91-29</v>
      </c>
      <c r="B22" s="30">
        <v>20</v>
      </c>
      <c r="C22" s="31" t="s">
        <v>108</v>
      </c>
      <c r="D22" s="31" t="s">
        <v>107</v>
      </c>
      <c r="E22" s="43">
        <v>29</v>
      </c>
      <c r="F22" s="32" t="s">
        <v>40</v>
      </c>
      <c r="G22" s="33" t="s">
        <v>106</v>
      </c>
      <c r="H22" s="31" t="s">
        <v>104</v>
      </c>
      <c r="I22" s="31" t="s">
        <v>105</v>
      </c>
      <c r="J22" s="31" t="s">
        <v>113</v>
      </c>
      <c r="K22" s="31" t="s">
        <v>105</v>
      </c>
      <c r="L22" s="30">
        <v>499.51</v>
      </c>
      <c r="M22" s="34" t="s">
        <v>121</v>
      </c>
      <c r="N22" s="35" t="s">
        <v>103</v>
      </c>
      <c r="O22" s="36" t="s">
        <v>128</v>
      </c>
      <c r="P22" s="37"/>
      <c r="Q22" s="38"/>
      <c r="R22" s="39"/>
      <c r="S22" s="38"/>
      <c r="T22" s="38"/>
      <c r="U22" s="38"/>
      <c r="V22" s="40"/>
      <c r="W22" s="36"/>
      <c r="X22" s="41"/>
    </row>
    <row r="23" spans="1:24" s="25" customFormat="1" ht="82.5" customHeight="1" x14ac:dyDescent="0.25">
      <c r="A23" s="25" t="str">
        <f t="shared" si="0"/>
        <v>Т91-30</v>
      </c>
      <c r="B23" s="30">
        <v>21</v>
      </c>
      <c r="C23" s="31" t="s">
        <v>108</v>
      </c>
      <c r="D23" s="31" t="s">
        <v>107</v>
      </c>
      <c r="E23" s="43">
        <v>30</v>
      </c>
      <c r="F23" s="32" t="s">
        <v>40</v>
      </c>
      <c r="G23" s="33" t="s">
        <v>106</v>
      </c>
      <c r="H23" s="31" t="s">
        <v>113</v>
      </c>
      <c r="I23" s="31" t="s">
        <v>105</v>
      </c>
      <c r="J23" s="31" t="s">
        <v>104</v>
      </c>
      <c r="K23" s="31" t="s">
        <v>105</v>
      </c>
      <c r="L23" s="30">
        <v>499.51</v>
      </c>
      <c r="M23" s="34" t="s">
        <v>121</v>
      </c>
      <c r="N23" s="35" t="s">
        <v>103</v>
      </c>
      <c r="O23" s="36" t="s">
        <v>128</v>
      </c>
      <c r="P23" s="37"/>
      <c r="Q23" s="38"/>
      <c r="R23" s="39"/>
      <c r="S23" s="38"/>
      <c r="T23" s="38"/>
      <c r="U23" s="38"/>
      <c r="V23" s="40"/>
      <c r="W23" s="36"/>
      <c r="X23" s="41"/>
    </row>
    <row r="24" spans="1:24" s="25" customFormat="1" ht="82.5" customHeight="1" x14ac:dyDescent="0.25">
      <c r="A24" s="25" t="str">
        <f t="shared" si="0"/>
        <v>Т91-31</v>
      </c>
      <c r="B24" s="30">
        <v>22</v>
      </c>
      <c r="C24" s="31" t="s">
        <v>108</v>
      </c>
      <c r="D24" s="31" t="s">
        <v>107</v>
      </c>
      <c r="E24" s="43">
        <v>31</v>
      </c>
      <c r="F24" s="32" t="s">
        <v>40</v>
      </c>
      <c r="G24" s="33" t="s">
        <v>106</v>
      </c>
      <c r="H24" s="31" t="s">
        <v>104</v>
      </c>
      <c r="I24" s="31" t="s">
        <v>105</v>
      </c>
      <c r="J24" s="31" t="s">
        <v>112</v>
      </c>
      <c r="K24" s="31" t="s">
        <v>105</v>
      </c>
      <c r="L24" s="30">
        <v>499.51</v>
      </c>
      <c r="M24" s="34" t="s">
        <v>122</v>
      </c>
      <c r="N24" s="35" t="s">
        <v>103</v>
      </c>
      <c r="O24" s="36" t="s">
        <v>128</v>
      </c>
      <c r="P24" s="37"/>
      <c r="Q24" s="38"/>
      <c r="R24" s="39"/>
      <c r="S24" s="38"/>
      <c r="T24" s="38"/>
      <c r="U24" s="38"/>
      <c r="V24" s="40"/>
      <c r="W24" s="36"/>
      <c r="X24" s="41"/>
    </row>
    <row r="25" spans="1:24" s="25" customFormat="1" ht="82.5" customHeight="1" x14ac:dyDescent="0.25">
      <c r="A25" s="25" t="str">
        <f t="shared" si="0"/>
        <v>Т91-32</v>
      </c>
      <c r="B25" s="30">
        <v>23</v>
      </c>
      <c r="C25" s="31" t="s">
        <v>108</v>
      </c>
      <c r="D25" s="31" t="s">
        <v>107</v>
      </c>
      <c r="E25" s="43">
        <v>32</v>
      </c>
      <c r="F25" s="32" t="s">
        <v>40</v>
      </c>
      <c r="G25" s="33" t="s">
        <v>106</v>
      </c>
      <c r="H25" s="31" t="s">
        <v>112</v>
      </c>
      <c r="I25" s="31" t="s">
        <v>105</v>
      </c>
      <c r="J25" s="31" t="s">
        <v>111</v>
      </c>
      <c r="K25" s="31" t="s">
        <v>105</v>
      </c>
      <c r="L25" s="30">
        <v>499.51</v>
      </c>
      <c r="M25" s="34" t="s">
        <v>122</v>
      </c>
      <c r="N25" s="35" t="s">
        <v>103</v>
      </c>
      <c r="O25" s="36" t="s">
        <v>128</v>
      </c>
      <c r="P25" s="37"/>
      <c r="Q25" s="38"/>
      <c r="R25" s="39"/>
      <c r="S25" s="38"/>
      <c r="T25" s="38"/>
      <c r="U25" s="38"/>
      <c r="V25" s="40"/>
      <c r="W25" s="36"/>
      <c r="X25" s="41"/>
    </row>
    <row r="26" spans="1:24" s="25" customFormat="1" ht="82.5" customHeight="1" x14ac:dyDescent="0.25">
      <c r="A26" s="25" t="str">
        <f t="shared" ref="A26:A31" si="1">_xlfn.CONCAT(D26,"-",E26)</f>
        <v>Т91-33</v>
      </c>
      <c r="B26" s="44">
        <v>24</v>
      </c>
      <c r="C26" s="31" t="s">
        <v>108</v>
      </c>
      <c r="D26" s="31" t="s">
        <v>107</v>
      </c>
      <c r="E26" s="43">
        <v>33</v>
      </c>
      <c r="F26" s="32" t="s">
        <v>40</v>
      </c>
      <c r="G26" s="33" t="s">
        <v>106</v>
      </c>
      <c r="H26" s="31" t="s">
        <v>112</v>
      </c>
      <c r="I26" s="31" t="s">
        <v>105</v>
      </c>
      <c r="J26" s="31" t="s">
        <v>125</v>
      </c>
      <c r="K26" s="31" t="s">
        <v>105</v>
      </c>
      <c r="L26" s="30">
        <v>499.51</v>
      </c>
      <c r="M26" s="34" t="s">
        <v>123</v>
      </c>
      <c r="N26" s="35" t="s">
        <v>103</v>
      </c>
      <c r="O26" s="36" t="s">
        <v>128</v>
      </c>
      <c r="P26" s="37"/>
      <c r="Q26" s="38"/>
      <c r="R26" s="39"/>
      <c r="S26" s="38"/>
      <c r="T26" s="38"/>
      <c r="U26" s="38"/>
      <c r="V26" s="40"/>
      <c r="W26" s="36"/>
      <c r="X26" s="41"/>
    </row>
    <row r="27" spans="1:24" s="25" customFormat="1" ht="82.5" customHeight="1" x14ac:dyDescent="0.25">
      <c r="A27" s="25" t="str">
        <f t="shared" si="1"/>
        <v>Т91-34</v>
      </c>
      <c r="B27" s="44">
        <v>25</v>
      </c>
      <c r="C27" s="31" t="s">
        <v>108</v>
      </c>
      <c r="D27" s="31" t="s">
        <v>107</v>
      </c>
      <c r="E27" s="43">
        <v>34</v>
      </c>
      <c r="F27" s="32" t="s">
        <v>40</v>
      </c>
      <c r="G27" s="33" t="s">
        <v>106</v>
      </c>
      <c r="H27" s="31" t="s">
        <v>104</v>
      </c>
      <c r="I27" s="31" t="s">
        <v>105</v>
      </c>
      <c r="J27" s="31" t="s">
        <v>112</v>
      </c>
      <c r="K27" s="31" t="s">
        <v>105</v>
      </c>
      <c r="L27" s="30">
        <v>499.51</v>
      </c>
      <c r="M27" s="34" t="s">
        <v>123</v>
      </c>
      <c r="N27" s="35" t="s">
        <v>103</v>
      </c>
      <c r="O27" s="36" t="s">
        <v>128</v>
      </c>
      <c r="P27" s="37"/>
      <c r="Q27" s="38"/>
      <c r="R27" s="39"/>
      <c r="S27" s="38"/>
      <c r="T27" s="38"/>
      <c r="U27" s="38"/>
      <c r="V27" s="40"/>
      <c r="W27" s="36"/>
      <c r="X27" s="41"/>
    </row>
    <row r="28" spans="1:24" s="25" customFormat="1" ht="82.5" customHeight="1" x14ac:dyDescent="0.25">
      <c r="A28" s="25" t="str">
        <f t="shared" si="1"/>
        <v>Т91-35</v>
      </c>
      <c r="B28" s="44">
        <v>26</v>
      </c>
      <c r="C28" s="31" t="s">
        <v>108</v>
      </c>
      <c r="D28" s="31" t="s">
        <v>107</v>
      </c>
      <c r="E28" s="43">
        <v>35</v>
      </c>
      <c r="F28" s="32" t="s">
        <v>40</v>
      </c>
      <c r="G28" s="33" t="s">
        <v>106</v>
      </c>
      <c r="H28" s="31" t="s">
        <v>126</v>
      </c>
      <c r="I28" s="31" t="s">
        <v>105</v>
      </c>
      <c r="J28" s="31" t="s">
        <v>104</v>
      </c>
      <c r="K28" s="31" t="s">
        <v>105</v>
      </c>
      <c r="L28" s="30">
        <v>499.51</v>
      </c>
      <c r="M28" s="34" t="s">
        <v>123</v>
      </c>
      <c r="N28" s="35" t="s">
        <v>103</v>
      </c>
      <c r="O28" s="36" t="s">
        <v>128</v>
      </c>
      <c r="P28" s="37"/>
      <c r="Q28" s="38"/>
      <c r="R28" s="39"/>
      <c r="S28" s="38"/>
      <c r="T28" s="38"/>
      <c r="U28" s="38"/>
      <c r="V28" s="40"/>
      <c r="W28" s="36"/>
      <c r="X28" s="41"/>
    </row>
    <row r="29" spans="1:24" s="25" customFormat="1" ht="82.5" customHeight="1" x14ac:dyDescent="0.25">
      <c r="A29" s="25" t="str">
        <f t="shared" si="1"/>
        <v>Т91-36</v>
      </c>
      <c r="B29" s="44">
        <v>27</v>
      </c>
      <c r="C29" s="31" t="s">
        <v>108</v>
      </c>
      <c r="D29" s="31" t="s">
        <v>107</v>
      </c>
      <c r="E29" s="43">
        <v>36</v>
      </c>
      <c r="F29" s="32" t="s">
        <v>40</v>
      </c>
      <c r="G29" s="33" t="s">
        <v>106</v>
      </c>
      <c r="H29" s="31" t="s">
        <v>104</v>
      </c>
      <c r="I29" s="31" t="s">
        <v>105</v>
      </c>
      <c r="J29" s="31" t="s">
        <v>126</v>
      </c>
      <c r="K29" s="31" t="s">
        <v>105</v>
      </c>
      <c r="L29" s="30">
        <v>499.51</v>
      </c>
      <c r="M29" s="34" t="s">
        <v>124</v>
      </c>
      <c r="N29" s="35" t="s">
        <v>103</v>
      </c>
      <c r="O29" s="36" t="s">
        <v>128</v>
      </c>
      <c r="P29" s="37"/>
      <c r="Q29" s="38"/>
      <c r="R29" s="39"/>
      <c r="S29" s="38"/>
      <c r="T29" s="38"/>
      <c r="U29" s="38"/>
      <c r="V29" s="40"/>
      <c r="W29" s="36"/>
      <c r="X29" s="41"/>
    </row>
    <row r="30" spans="1:24" s="25" customFormat="1" ht="82.5" customHeight="1" x14ac:dyDescent="0.25">
      <c r="A30" s="25" t="str">
        <f t="shared" si="1"/>
        <v>Т91-37</v>
      </c>
      <c r="B30" s="44">
        <v>28</v>
      </c>
      <c r="C30" s="31" t="s">
        <v>108</v>
      </c>
      <c r="D30" s="31" t="s">
        <v>107</v>
      </c>
      <c r="E30" s="43">
        <v>37</v>
      </c>
      <c r="F30" s="32" t="s">
        <v>40</v>
      </c>
      <c r="G30" s="33" t="s">
        <v>106</v>
      </c>
      <c r="H30" s="31" t="s">
        <v>104</v>
      </c>
      <c r="I30" s="31" t="s">
        <v>105</v>
      </c>
      <c r="J30" s="31" t="s">
        <v>112</v>
      </c>
      <c r="K30" s="31" t="s">
        <v>105</v>
      </c>
      <c r="L30" s="30">
        <v>499.51</v>
      </c>
      <c r="M30" s="34" t="s">
        <v>124</v>
      </c>
      <c r="N30" s="35" t="s">
        <v>103</v>
      </c>
      <c r="O30" s="36" t="s">
        <v>128</v>
      </c>
      <c r="P30" s="37"/>
      <c r="Q30" s="38"/>
      <c r="R30" s="39"/>
      <c r="S30" s="38"/>
      <c r="T30" s="38"/>
      <c r="U30" s="38"/>
      <c r="V30" s="40"/>
      <c r="W30" s="36"/>
      <c r="X30" s="41"/>
    </row>
    <row r="31" spans="1:24" s="25" customFormat="1" ht="82.5" customHeight="1" x14ac:dyDescent="0.25">
      <c r="A31" s="25" t="str">
        <f t="shared" si="1"/>
        <v>Т91-38</v>
      </c>
      <c r="B31" s="44">
        <v>29</v>
      </c>
      <c r="C31" s="31" t="s">
        <v>108</v>
      </c>
      <c r="D31" s="31" t="s">
        <v>107</v>
      </c>
      <c r="E31" s="43">
        <v>38</v>
      </c>
      <c r="F31" s="32" t="s">
        <v>40</v>
      </c>
      <c r="G31" s="33" t="s">
        <v>106</v>
      </c>
      <c r="H31" s="31" t="s">
        <v>112</v>
      </c>
      <c r="I31" s="31" t="s">
        <v>105</v>
      </c>
      <c r="J31" s="31" t="s">
        <v>127</v>
      </c>
      <c r="K31" s="31" t="s">
        <v>105</v>
      </c>
      <c r="L31" s="30">
        <v>499.51</v>
      </c>
      <c r="M31" s="34" t="s">
        <v>124</v>
      </c>
      <c r="N31" s="35" t="s">
        <v>103</v>
      </c>
      <c r="O31" s="36" t="s">
        <v>128</v>
      </c>
      <c r="P31" s="37"/>
      <c r="Q31" s="38"/>
      <c r="R31" s="39"/>
      <c r="S31" s="38"/>
      <c r="T31" s="38"/>
      <c r="U31" s="38"/>
      <c r="V31" s="40"/>
      <c r="W31" s="36"/>
      <c r="X31" s="41"/>
    </row>
  </sheetData>
  <autoFilter ref="B2:X31" xr:uid="{00000000-0001-0000-0200-000000000000}"/>
  <phoneticPr fontId="17" type="noConversion"/>
  <conditionalFormatting sqref="E1:E1048576">
    <cfRule type="duplicateValues" dxfId="0" priority="1"/>
  </conditionalFormatting>
  <printOptions horizontalCentered="1"/>
  <pageMargins left="0.7" right="0.7" top="0.16" bottom="0.17" header="0.16" footer="0.17"/>
  <pageSetup paperSize="8" scale="59" fitToHeight="0" pageOrder="overThenDown" orientation="landscape" useFirstPageNumber="1" r:id="rId1"/>
  <headerFooter differentOddEven="1" differentFirs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B660-E1CC-438C-B0F5-52AE23115C8A}">
  <dimension ref="A1:H32"/>
  <sheetViews>
    <sheetView workbookViewId="0">
      <selection activeCell="H23" sqref="H23"/>
    </sheetView>
  </sheetViews>
  <sheetFormatPr defaultRowHeight="12.75" x14ac:dyDescent="0.2"/>
  <cols>
    <col min="1" max="1" width="55.28515625" style="11" bestFit="1" customWidth="1"/>
    <col min="2" max="3" width="6.140625" style="21" bestFit="1" customWidth="1"/>
    <col min="4" max="16384" width="9.140625" style="11"/>
  </cols>
  <sheetData>
    <row r="1" spans="1:8" x14ac:dyDescent="0.2">
      <c r="A1" s="12"/>
      <c r="B1" s="21">
        <v>1</v>
      </c>
      <c r="C1" s="21">
        <v>2</v>
      </c>
    </row>
    <row r="2" spans="1:8" x14ac:dyDescent="0.2">
      <c r="A2" s="18" t="s">
        <v>69</v>
      </c>
      <c r="B2" s="22" t="s">
        <v>70</v>
      </c>
      <c r="C2" s="23"/>
    </row>
    <row r="3" spans="1:8" s="17" customFormat="1" x14ac:dyDescent="0.2">
      <c r="A3" s="18" t="s">
        <v>47</v>
      </c>
      <c r="B3" s="22" t="s">
        <v>63</v>
      </c>
      <c r="C3" s="23"/>
    </row>
    <row r="4" spans="1:8" s="17" customFormat="1" x14ac:dyDescent="0.2">
      <c r="A4" s="18" t="s">
        <v>47</v>
      </c>
      <c r="B4" s="22" t="s">
        <v>63</v>
      </c>
      <c r="C4" s="23"/>
    </row>
    <row r="5" spans="1:8" x14ac:dyDescent="0.2">
      <c r="A5" s="18" t="s">
        <v>56</v>
      </c>
      <c r="B5" s="22" t="s">
        <v>64</v>
      </c>
      <c r="C5" s="23"/>
    </row>
    <row r="6" spans="1:8" ht="25.5" x14ac:dyDescent="0.2">
      <c r="A6" s="19" t="s">
        <v>71</v>
      </c>
      <c r="B6" s="22" t="s">
        <v>64</v>
      </c>
      <c r="C6" s="22" t="s">
        <v>65</v>
      </c>
    </row>
    <row r="7" spans="1:8" x14ac:dyDescent="0.2">
      <c r="A7" s="18" t="s">
        <v>44</v>
      </c>
      <c r="B7" s="22" t="s">
        <v>66</v>
      </c>
      <c r="C7" s="23"/>
      <c r="H7" s="29" t="s">
        <v>92</v>
      </c>
    </row>
    <row r="8" spans="1:8" x14ac:dyDescent="0.2">
      <c r="A8" s="18" t="s">
        <v>48</v>
      </c>
      <c r="B8" s="22" t="s">
        <v>66</v>
      </c>
      <c r="C8" s="23"/>
      <c r="H8" s="29" t="s">
        <v>90</v>
      </c>
    </row>
    <row r="9" spans="1:8" ht="25.5" x14ac:dyDescent="0.2">
      <c r="A9" s="19" t="s">
        <v>49</v>
      </c>
      <c r="B9" s="22" t="s">
        <v>66</v>
      </c>
      <c r="C9" s="22" t="s">
        <v>63</v>
      </c>
      <c r="H9" s="29" t="s">
        <v>91</v>
      </c>
    </row>
    <row r="10" spans="1:8" ht="25.5" x14ac:dyDescent="0.2">
      <c r="A10" s="19" t="s">
        <v>77</v>
      </c>
      <c r="B10" s="22" t="s">
        <v>66</v>
      </c>
      <c r="C10" s="22" t="s">
        <v>67</v>
      </c>
      <c r="H10" s="29" t="s">
        <v>93</v>
      </c>
    </row>
    <row r="11" spans="1:8" ht="25.5" x14ac:dyDescent="0.2">
      <c r="A11" s="20" t="s">
        <v>85</v>
      </c>
      <c r="B11" s="22" t="s">
        <v>66</v>
      </c>
      <c r="C11" s="23"/>
      <c r="H11" s="29" t="s">
        <v>94</v>
      </c>
    </row>
    <row r="12" spans="1:8" ht="38.25" x14ac:dyDescent="0.2">
      <c r="A12" s="19" t="s">
        <v>78</v>
      </c>
      <c r="B12" s="22" t="s">
        <v>66</v>
      </c>
      <c r="C12" s="22" t="s">
        <v>64</v>
      </c>
      <c r="H12" s="29" t="s">
        <v>95</v>
      </c>
    </row>
    <row r="13" spans="1:8" ht="38.25" x14ac:dyDescent="0.2">
      <c r="A13" s="19" t="s">
        <v>59</v>
      </c>
      <c r="B13" s="22" t="s">
        <v>66</v>
      </c>
      <c r="C13" s="22" t="s">
        <v>80</v>
      </c>
      <c r="H13" s="29" t="s">
        <v>96</v>
      </c>
    </row>
    <row r="14" spans="1:8" ht="25.5" x14ac:dyDescent="0.2">
      <c r="A14" s="19" t="s">
        <v>61</v>
      </c>
      <c r="B14" s="22" t="s">
        <v>81</v>
      </c>
      <c r="C14" s="22" t="s">
        <v>82</v>
      </c>
      <c r="H14" s="29" t="s">
        <v>97</v>
      </c>
    </row>
    <row r="15" spans="1:8" x14ac:dyDescent="0.2">
      <c r="A15" s="18" t="s">
        <v>43</v>
      </c>
      <c r="B15" s="22" t="s">
        <v>62</v>
      </c>
      <c r="C15" s="23"/>
      <c r="H15" s="29" t="s">
        <v>93</v>
      </c>
    </row>
    <row r="16" spans="1:8" ht="25.5" x14ac:dyDescent="0.2">
      <c r="A16" s="19" t="s">
        <v>54</v>
      </c>
      <c r="B16" s="22" t="s">
        <v>62</v>
      </c>
      <c r="C16" s="22" t="s">
        <v>76</v>
      </c>
      <c r="H16" s="29" t="s">
        <v>90</v>
      </c>
    </row>
    <row r="17" spans="1:8" x14ac:dyDescent="0.2">
      <c r="A17" s="18" t="s">
        <v>68</v>
      </c>
      <c r="B17" s="22" t="s">
        <v>62</v>
      </c>
      <c r="C17" s="23"/>
      <c r="H17" s="29" t="s">
        <v>97</v>
      </c>
    </row>
    <row r="18" spans="1:8" ht="38.25" x14ac:dyDescent="0.2">
      <c r="A18" s="19" t="s">
        <v>60</v>
      </c>
      <c r="B18" s="22" t="s">
        <v>62</v>
      </c>
      <c r="C18" s="22" t="s">
        <v>84</v>
      </c>
      <c r="H18" s="29" t="s">
        <v>98</v>
      </c>
    </row>
    <row r="19" spans="1:8" x14ac:dyDescent="0.2">
      <c r="A19" s="18" t="s">
        <v>58</v>
      </c>
      <c r="B19" s="22" t="s">
        <v>83</v>
      </c>
      <c r="C19" s="23"/>
      <c r="H19" s="29" t="s">
        <v>99</v>
      </c>
    </row>
    <row r="20" spans="1:8" x14ac:dyDescent="0.2">
      <c r="A20" s="18" t="s">
        <v>50</v>
      </c>
      <c r="B20" s="22" t="s">
        <v>65</v>
      </c>
      <c r="C20" s="23"/>
      <c r="H20" s="29" t="s">
        <v>99</v>
      </c>
    </row>
    <row r="21" spans="1:8" x14ac:dyDescent="0.2">
      <c r="A21" s="18" t="s">
        <v>50</v>
      </c>
      <c r="B21" s="22" t="s">
        <v>65</v>
      </c>
      <c r="C21" s="23"/>
      <c r="H21" s="29" t="s">
        <v>100</v>
      </c>
    </row>
    <row r="22" spans="1:8" x14ac:dyDescent="0.2">
      <c r="A22" s="18" t="s">
        <v>50</v>
      </c>
      <c r="B22" s="22" t="s">
        <v>65</v>
      </c>
      <c r="C22" s="23"/>
      <c r="H22" s="29" t="s">
        <v>101</v>
      </c>
    </row>
    <row r="23" spans="1:8" ht="25.5" x14ac:dyDescent="0.2">
      <c r="A23" s="19" t="s">
        <v>51</v>
      </c>
      <c r="B23" s="22" t="s">
        <v>65</v>
      </c>
      <c r="C23" s="22" t="s">
        <v>63</v>
      </c>
      <c r="H23" s="29" t="s">
        <v>102</v>
      </c>
    </row>
    <row r="24" spans="1:8" ht="25.5" x14ac:dyDescent="0.2">
      <c r="A24" s="19" t="s">
        <v>72</v>
      </c>
      <c r="B24" s="22" t="s">
        <v>65</v>
      </c>
      <c r="C24" s="22" t="s">
        <v>64</v>
      </c>
      <c r="H24" s="29" t="s">
        <v>99</v>
      </c>
    </row>
    <row r="25" spans="1:8" ht="25.5" x14ac:dyDescent="0.2">
      <c r="A25" s="19" t="s">
        <v>75</v>
      </c>
      <c r="B25" s="22" t="s">
        <v>65</v>
      </c>
      <c r="C25" s="22" t="s">
        <v>63</v>
      </c>
    </row>
    <row r="26" spans="1:8" ht="25.5" x14ac:dyDescent="0.2">
      <c r="A26" s="19" t="s">
        <v>74</v>
      </c>
      <c r="B26" s="22" t="s">
        <v>65</v>
      </c>
      <c r="C26" s="22" t="s">
        <v>67</v>
      </c>
    </row>
    <row r="27" spans="1:8" ht="25.5" x14ac:dyDescent="0.2">
      <c r="A27" s="19" t="s">
        <v>73</v>
      </c>
      <c r="B27" s="22" t="s">
        <v>65</v>
      </c>
      <c r="C27" s="22" t="s">
        <v>76</v>
      </c>
    </row>
    <row r="28" spans="1:8" ht="25.5" x14ac:dyDescent="0.2">
      <c r="A28" s="19" t="s">
        <v>52</v>
      </c>
      <c r="B28" s="22" t="s">
        <v>79</v>
      </c>
      <c r="C28" s="22" t="s">
        <v>63</v>
      </c>
    </row>
    <row r="29" spans="1:8" ht="25.5" x14ac:dyDescent="0.2">
      <c r="A29" s="19" t="s">
        <v>53</v>
      </c>
      <c r="B29" s="22" t="s">
        <v>79</v>
      </c>
      <c r="C29" s="23"/>
    </row>
    <row r="30" spans="1:8" ht="25.5" x14ac:dyDescent="0.2">
      <c r="A30" s="19" t="s">
        <v>55</v>
      </c>
      <c r="B30" s="22" t="s">
        <v>79</v>
      </c>
      <c r="C30" s="23"/>
    </row>
    <row r="31" spans="1:8" ht="38.25" x14ac:dyDescent="0.2">
      <c r="A31" s="19" t="s">
        <v>57</v>
      </c>
      <c r="B31" s="22" t="s">
        <v>79</v>
      </c>
      <c r="C31" s="22" t="s">
        <v>64</v>
      </c>
    </row>
    <row r="32" spans="1:8" x14ac:dyDescent="0.2">
      <c r="A32" s="12"/>
    </row>
  </sheetData>
  <autoFilter ref="A1:C31" xr:uid="{8967B660-E1CC-438C-B0F5-52AE23115C8A}">
    <sortState xmlns:xlrd2="http://schemas.microsoft.com/office/spreadsheetml/2017/richdata2" ref="A2:C31">
      <sortCondition ref="B1:B3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тит</vt:lpstr>
      <vt:lpstr>Страница 1</vt:lpstr>
      <vt:lpstr>Н1 </vt:lpstr>
      <vt:lpstr>Лист1</vt:lpstr>
      <vt:lpstr>'Н1 '!Заголовки_для_печати</vt:lpstr>
      <vt:lpstr>'Н1 '!Область_печати</vt:lpstr>
      <vt:lpstr>'Страница 1'!Область_печати</vt:lpstr>
      <vt:lpstr>тит!Область_печати</vt:lpstr>
    </vt:vector>
  </TitlesOfParts>
  <Company>Excel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2026-08-20T05:22:09Z</cp:lastPrinted>
  <dcterms:created xsi:type="dcterms:W3CDTF">1996-10-08T23:32:33Z</dcterms:created>
  <dcterms:modified xsi:type="dcterms:W3CDTF">2026-08-20T14:18:00Z</dcterms:modified>
</cp:coreProperties>
</file>